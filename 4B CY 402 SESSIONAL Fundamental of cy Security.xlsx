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drawings/drawing2.xml" ContentType="application/vnd.openxmlformats-officedocument.drawing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/>
  <bookViews>
    <workbookView xWindow="480" yWindow="555" windowWidth="13095" windowHeight="7110" activeTab="1"/>
  </bookViews>
  <sheets>
    <sheet name="BATCH-1" sheetId="1" r:id="rId1"/>
    <sheet name="BATCH-2" sheetId="3" r:id="rId2"/>
  </sheets>
  <definedNames>
    <definedName name="_xlnm._FilterDatabase" localSheetId="0" hidden="1">'BATCH-1'!$N$1:$N$44</definedName>
    <definedName name="_xlnm._FilterDatabase" localSheetId="1" hidden="1">'BATCH-2'!$N$1:$N$44</definedName>
    <definedName name="_FilterDatabase_1" localSheetId="0">'BATCH-1'!$G$1:$G$44</definedName>
    <definedName name="_FilterDatabase_1" localSheetId="1">'BATCH-2'!$G$1:$G$44</definedName>
    <definedName name="_FilterDatabase_1">#REF!</definedName>
    <definedName name="_xlnm.Print_Area" localSheetId="0">'BATCH-1'!$A$1:$P$46</definedName>
    <definedName name="_xlnm.Print_Area" localSheetId="1">'BATCH-2'!$A$1:$P$46</definedName>
    <definedName name="_xlnm.Print_Titles" localSheetId="0">'BATCH-1'!$1:$1</definedName>
    <definedName name="_xlnm.Print_Titles" localSheetId="1">'BATCH-2'!$1:$1</definedName>
  </definedNames>
  <calcPr calcId="124519"/>
</workbook>
</file>

<file path=xl/calcChain.xml><?xml version="1.0" encoding="utf-8"?>
<calcChain xmlns="http://schemas.openxmlformats.org/spreadsheetml/2006/main">
  <c r="L8" i="1"/>
  <c r="L9"/>
  <c r="L10"/>
  <c r="L11"/>
  <c r="L12"/>
  <c r="L13"/>
  <c r="L14"/>
  <c r="L15"/>
  <c r="L16"/>
  <c r="L17"/>
  <c r="L18"/>
  <c r="L19"/>
  <c r="L20"/>
  <c r="L21"/>
  <c r="L22"/>
  <c r="L23"/>
  <c r="L24"/>
  <c r="L25"/>
  <c r="L26"/>
  <c r="L27"/>
  <c r="L28"/>
  <c r="L29"/>
  <c r="L30"/>
  <c r="L31"/>
  <c r="L32"/>
  <c r="L33"/>
  <c r="L34"/>
  <c r="L35"/>
  <c r="L36"/>
  <c r="L37"/>
  <c r="L38"/>
  <c r="L39"/>
  <c r="L40"/>
  <c r="L41"/>
  <c r="L42"/>
  <c r="L43"/>
  <c r="L44"/>
  <c r="L7"/>
  <c r="L7" i="3"/>
  <c r="N7" s="1"/>
  <c r="L8"/>
  <c r="N8" s="1"/>
  <c r="L9"/>
  <c r="N9" s="1"/>
  <c r="L10"/>
  <c r="N10" s="1"/>
  <c r="L11"/>
  <c r="N11" s="1"/>
  <c r="L12"/>
  <c r="N12" s="1"/>
  <c r="L13"/>
  <c r="N13" s="1"/>
  <c r="L14"/>
  <c r="N14" s="1"/>
  <c r="L15"/>
  <c r="L16"/>
  <c r="N16" s="1"/>
  <c r="L17"/>
  <c r="N17" s="1"/>
  <c r="L18"/>
  <c r="N18" s="1"/>
  <c r="L19"/>
  <c r="N19" s="1"/>
  <c r="L20"/>
  <c r="N20" s="1"/>
  <c r="L21"/>
  <c r="N21" s="1"/>
  <c r="L22"/>
  <c r="N22" s="1"/>
  <c r="L23"/>
  <c r="N23" s="1"/>
  <c r="L24"/>
  <c r="N24" s="1"/>
  <c r="L25"/>
  <c r="N25" s="1"/>
  <c r="L26"/>
  <c r="N26" s="1"/>
  <c r="L27"/>
  <c r="L28"/>
  <c r="N28" s="1"/>
  <c r="L29"/>
  <c r="N29" s="1"/>
  <c r="L30"/>
  <c r="N30" s="1"/>
  <c r="L31"/>
  <c r="N31" s="1"/>
  <c r="L32"/>
  <c r="N32" s="1"/>
  <c r="L33"/>
  <c r="N33" s="1"/>
  <c r="L34"/>
  <c r="N34" s="1"/>
  <c r="L35"/>
  <c r="N35" s="1"/>
  <c r="L36"/>
  <c r="N36" s="1"/>
  <c r="L37"/>
  <c r="N37" s="1"/>
  <c r="L38"/>
  <c r="N38" s="1"/>
  <c r="L39"/>
  <c r="N39" s="1"/>
  <c r="L40"/>
  <c r="N40" s="1"/>
  <c r="L41"/>
  <c r="N41" s="1"/>
  <c r="L42"/>
  <c r="N42" s="1"/>
  <c r="L43"/>
  <c r="N43" s="1"/>
  <c r="L44"/>
  <c r="N44" s="1"/>
  <c r="F44"/>
  <c r="F7" i="1"/>
  <c r="F8"/>
  <c r="F9"/>
  <c r="F10"/>
  <c r="F11"/>
  <c r="F12"/>
  <c r="F13"/>
  <c r="F14"/>
  <c r="F15"/>
  <c r="F16"/>
  <c r="F17"/>
  <c r="F18"/>
  <c r="F19"/>
  <c r="F20"/>
  <c r="F21"/>
  <c r="F22"/>
  <c r="F23"/>
  <c r="F24"/>
  <c r="F25"/>
  <c r="F26"/>
  <c r="F27"/>
  <c r="F28"/>
  <c r="F29"/>
  <c r="F30"/>
  <c r="F31"/>
  <c r="F32"/>
  <c r="F33"/>
  <c r="F34"/>
  <c r="F35"/>
  <c r="F36"/>
  <c r="F37"/>
  <c r="F38"/>
  <c r="F39"/>
  <c r="F40"/>
  <c r="F41"/>
  <c r="F42"/>
  <c r="F43"/>
  <c r="F44"/>
  <c r="F43" i="3"/>
  <c r="F42"/>
  <c r="F41"/>
  <c r="F40"/>
  <c r="F39"/>
  <c r="F38"/>
  <c r="F37"/>
  <c r="F36"/>
  <c r="F35"/>
  <c r="F34"/>
  <c r="F33"/>
  <c r="F32"/>
  <c r="F31"/>
  <c r="F30"/>
  <c r="F29"/>
  <c r="F28"/>
  <c r="N27"/>
  <c r="F27"/>
  <c r="F26"/>
  <c r="F25"/>
  <c r="F24"/>
  <c r="F23"/>
  <c r="F22"/>
  <c r="F21"/>
  <c r="F20"/>
  <c r="F19"/>
  <c r="F18"/>
  <c r="F17"/>
  <c r="F16"/>
  <c r="N15"/>
  <c r="F15"/>
  <c r="F14"/>
  <c r="F13"/>
  <c r="F12"/>
  <c r="F11"/>
  <c r="F10"/>
  <c r="F9"/>
  <c r="F8"/>
  <c r="F7"/>
  <c r="Q6"/>
  <c r="L6"/>
  <c r="F6"/>
  <c r="G6" s="1"/>
  <c r="G44" l="1"/>
  <c r="G7"/>
  <c r="H7" s="1"/>
  <c r="I7" s="1"/>
  <c r="G8"/>
  <c r="G9"/>
  <c r="G10"/>
  <c r="G11"/>
  <c r="G12"/>
  <c r="G13"/>
  <c r="G14"/>
  <c r="G15"/>
  <c r="G16"/>
  <c r="G17"/>
  <c r="G18"/>
  <c r="G19"/>
  <c r="G20"/>
  <c r="G21"/>
  <c r="G22"/>
  <c r="G23"/>
  <c r="G24"/>
  <c r="G25"/>
  <c r="G26"/>
  <c r="G27"/>
  <c r="G28"/>
  <c r="G29"/>
  <c r="G30"/>
  <c r="G31"/>
  <c r="G32"/>
  <c r="G33"/>
  <c r="G34"/>
  <c r="G35"/>
  <c r="G36"/>
  <c r="G37"/>
  <c r="G38"/>
  <c r="G39"/>
  <c r="G40"/>
  <c r="G41"/>
  <c r="G42"/>
  <c r="G43"/>
  <c r="M40" l="1"/>
  <c r="H40"/>
  <c r="M36"/>
  <c r="H36"/>
  <c r="M32"/>
  <c r="H32"/>
  <c r="M28"/>
  <c r="H28"/>
  <c r="I28" s="1"/>
  <c r="M24"/>
  <c r="H24"/>
  <c r="M20"/>
  <c r="H20"/>
  <c r="I20" s="1"/>
  <c r="M16"/>
  <c r="H16"/>
  <c r="M12"/>
  <c r="H12"/>
  <c r="M8"/>
  <c r="H8"/>
  <c r="M41"/>
  <c r="H41"/>
  <c r="M37"/>
  <c r="H37"/>
  <c r="M33"/>
  <c r="H33"/>
  <c r="M29"/>
  <c r="H29"/>
  <c r="I29" s="1"/>
  <c r="M25"/>
  <c r="H25"/>
  <c r="M21"/>
  <c r="H21"/>
  <c r="I21" s="1"/>
  <c r="M17"/>
  <c r="H17"/>
  <c r="I17" s="1"/>
  <c r="M13"/>
  <c r="H13"/>
  <c r="I13" s="1"/>
  <c r="M9"/>
  <c r="H9"/>
  <c r="I9" s="1"/>
  <c r="M42"/>
  <c r="H42"/>
  <c r="M38"/>
  <c r="H38"/>
  <c r="I38" s="1"/>
  <c r="M34"/>
  <c r="H34"/>
  <c r="M30"/>
  <c r="H30"/>
  <c r="M26"/>
  <c r="H26"/>
  <c r="M22"/>
  <c r="H22"/>
  <c r="M18"/>
  <c r="H18"/>
  <c r="M14"/>
  <c r="H14"/>
  <c r="M10"/>
  <c r="H10"/>
  <c r="H44"/>
  <c r="I44" s="1"/>
  <c r="M43"/>
  <c r="H43"/>
  <c r="M39"/>
  <c r="H39"/>
  <c r="M35"/>
  <c r="H35"/>
  <c r="M31"/>
  <c r="H31"/>
  <c r="M27"/>
  <c r="H27"/>
  <c r="M23"/>
  <c r="H23"/>
  <c r="M19"/>
  <c r="H19"/>
  <c r="M15"/>
  <c r="H15"/>
  <c r="M11"/>
  <c r="H11"/>
  <c r="M7"/>
  <c r="O7" s="1"/>
  <c r="Q7" s="1"/>
  <c r="M44"/>
  <c r="O44" s="1"/>
  <c r="Q44" s="1"/>
  <c r="I37"/>
  <c r="P37" s="1"/>
  <c r="N8" i="1"/>
  <c r="N9"/>
  <c r="N10"/>
  <c r="N11"/>
  <c r="N12"/>
  <c r="N13"/>
  <c r="N14"/>
  <c r="N15"/>
  <c r="N16"/>
  <c r="N17"/>
  <c r="N18"/>
  <c r="N19"/>
  <c r="N20"/>
  <c r="N21"/>
  <c r="N22"/>
  <c r="N23"/>
  <c r="N24"/>
  <c r="N25"/>
  <c r="N26"/>
  <c r="N27"/>
  <c r="N28"/>
  <c r="N29"/>
  <c r="N30"/>
  <c r="N31"/>
  <c r="N32"/>
  <c r="N33"/>
  <c r="N34"/>
  <c r="N35"/>
  <c r="N36"/>
  <c r="N37"/>
  <c r="N38"/>
  <c r="N39"/>
  <c r="N40"/>
  <c r="N41"/>
  <c r="N42"/>
  <c r="N43"/>
  <c r="N44"/>
  <c r="O13" i="3" l="1"/>
  <c r="Q13" s="1"/>
  <c r="O29"/>
  <c r="Q29" s="1"/>
  <c r="O10"/>
  <c r="Q10" s="1"/>
  <c r="P21"/>
  <c r="P44"/>
  <c r="O20"/>
  <c r="Q20" s="1"/>
  <c r="P29"/>
  <c r="P13"/>
  <c r="P38"/>
  <c r="P17"/>
  <c r="P28"/>
  <c r="P9"/>
  <c r="P20"/>
  <c r="P7"/>
  <c r="O21"/>
  <c r="Q21" s="1"/>
  <c r="O37"/>
  <c r="Q37" s="1"/>
  <c r="I39"/>
  <c r="P39" s="1"/>
  <c r="O39"/>
  <c r="Q39" s="1"/>
  <c r="O17"/>
  <c r="Q17" s="1"/>
  <c r="O28"/>
  <c r="Q28" s="1"/>
  <c r="I10"/>
  <c r="P10" s="1"/>
  <c r="O9"/>
  <c r="Q9" s="1"/>
  <c r="I42"/>
  <c r="P42" s="1"/>
  <c r="O42"/>
  <c r="Q42" s="1"/>
  <c r="O38"/>
  <c r="Q38" s="1"/>
  <c r="I16"/>
  <c r="P16" s="1"/>
  <c r="O16"/>
  <c r="Q16" s="1"/>
  <c r="I24"/>
  <c r="P24" s="1"/>
  <c r="O24"/>
  <c r="Q24" s="1"/>
  <c r="I36"/>
  <c r="P36" s="1"/>
  <c r="O36"/>
  <c r="Q36" s="1"/>
  <c r="I32"/>
  <c r="P32" s="1"/>
  <c r="O32"/>
  <c r="Q32" s="1"/>
  <c r="I12"/>
  <c r="P12" s="1"/>
  <c r="O12"/>
  <c r="Q12" s="1"/>
  <c r="I18"/>
  <c r="P18" s="1"/>
  <c r="O18"/>
  <c r="Q18" s="1"/>
  <c r="I26"/>
  <c r="P26" s="1"/>
  <c r="O26"/>
  <c r="Q26" s="1"/>
  <c r="I34"/>
  <c r="P34" s="1"/>
  <c r="O34"/>
  <c r="Q34" s="1"/>
  <c r="I8"/>
  <c r="P8" s="1"/>
  <c r="O8"/>
  <c r="Q8" s="1"/>
  <c r="I14"/>
  <c r="P14" s="1"/>
  <c r="O14"/>
  <c r="Q14" s="1"/>
  <c r="O22"/>
  <c r="Q22" s="1"/>
  <c r="I22"/>
  <c r="P22" s="1"/>
  <c r="O30"/>
  <c r="Q30" s="1"/>
  <c r="I30"/>
  <c r="P30" s="1"/>
  <c r="I40"/>
  <c r="P40" s="1"/>
  <c r="O40"/>
  <c r="Q40" s="1"/>
  <c r="I25"/>
  <c r="P25" s="1"/>
  <c r="O25"/>
  <c r="Q25" s="1"/>
  <c r="O33"/>
  <c r="Q33" s="1"/>
  <c r="I33"/>
  <c r="P33" s="1"/>
  <c r="I19"/>
  <c r="P19" s="1"/>
  <c r="O19"/>
  <c r="Q19" s="1"/>
  <c r="I27"/>
  <c r="P27" s="1"/>
  <c r="O27"/>
  <c r="Q27" s="1"/>
  <c r="I35"/>
  <c r="P35" s="1"/>
  <c r="O35"/>
  <c r="Q35" s="1"/>
  <c r="O43"/>
  <c r="Q43" s="1"/>
  <c r="I43"/>
  <c r="P43" s="1"/>
  <c r="I11"/>
  <c r="P11" s="1"/>
  <c r="O11"/>
  <c r="Q11" s="1"/>
  <c r="I15"/>
  <c r="P15" s="1"/>
  <c r="O15"/>
  <c r="Q15" s="1"/>
  <c r="I23"/>
  <c r="P23" s="1"/>
  <c r="O23"/>
  <c r="Q23" s="1"/>
  <c r="I31"/>
  <c r="P31" s="1"/>
  <c r="O31"/>
  <c r="Q31" s="1"/>
  <c r="I41"/>
  <c r="P41" s="1"/>
  <c r="O41"/>
  <c r="Q41" s="1"/>
  <c r="F6" i="1"/>
  <c r="G6" s="1"/>
  <c r="Q6"/>
  <c r="N7"/>
  <c r="L6"/>
  <c r="G8" l="1"/>
  <c r="G10"/>
  <c r="G12"/>
  <c r="G14"/>
  <c r="G16"/>
  <c r="G18"/>
  <c r="G20"/>
  <c r="G22"/>
  <c r="G24"/>
  <c r="G26"/>
  <c r="G28"/>
  <c r="G30"/>
  <c r="G32"/>
  <c r="G34"/>
  <c r="G36"/>
  <c r="G38"/>
  <c r="G42"/>
  <c r="G9"/>
  <c r="G11"/>
  <c r="G13"/>
  <c r="G15"/>
  <c r="G17"/>
  <c r="G19"/>
  <c r="G21"/>
  <c r="G23"/>
  <c r="G25"/>
  <c r="G27"/>
  <c r="G29"/>
  <c r="G31"/>
  <c r="G33"/>
  <c r="G35"/>
  <c r="G37"/>
  <c r="G39"/>
  <c r="G41"/>
  <c r="G43"/>
  <c r="G40"/>
  <c r="G44"/>
  <c r="G7"/>
  <c r="M44" l="1"/>
  <c r="H44"/>
  <c r="M39"/>
  <c r="H39"/>
  <c r="M31"/>
  <c r="H31"/>
  <c r="M23"/>
  <c r="H23"/>
  <c r="M15"/>
  <c r="H15"/>
  <c r="M42"/>
  <c r="H42"/>
  <c r="M32"/>
  <c r="H32"/>
  <c r="M24"/>
  <c r="H24"/>
  <c r="M16"/>
  <c r="H16"/>
  <c r="M8"/>
  <c r="H8"/>
  <c r="I8" s="1"/>
  <c r="P8" s="1"/>
  <c r="M7"/>
  <c r="H7"/>
  <c r="M33"/>
  <c r="H33"/>
  <c r="M25"/>
  <c r="H25"/>
  <c r="M17"/>
  <c r="H17"/>
  <c r="M9"/>
  <c r="H9"/>
  <c r="M34"/>
  <c r="H34"/>
  <c r="M26"/>
  <c r="H26"/>
  <c r="M18"/>
  <c r="H18"/>
  <c r="M10"/>
  <c r="H10"/>
  <c r="H41"/>
  <c r="M41"/>
  <c r="M43"/>
  <c r="H43"/>
  <c r="M35"/>
  <c r="H35"/>
  <c r="M27"/>
  <c r="H27"/>
  <c r="M19"/>
  <c r="H19"/>
  <c r="M11"/>
  <c r="H11"/>
  <c r="M36"/>
  <c r="H36"/>
  <c r="M28"/>
  <c r="H28"/>
  <c r="M20"/>
  <c r="H20"/>
  <c r="M12"/>
  <c r="H12"/>
  <c r="M40"/>
  <c r="H40"/>
  <c r="M37"/>
  <c r="H37"/>
  <c r="H29"/>
  <c r="M29"/>
  <c r="M21"/>
  <c r="H21"/>
  <c r="M13"/>
  <c r="H13"/>
  <c r="M38"/>
  <c r="H38"/>
  <c r="M30"/>
  <c r="H30"/>
  <c r="M22"/>
  <c r="H22"/>
  <c r="M14"/>
  <c r="H14"/>
  <c r="O7"/>
  <c r="Q7" s="1"/>
  <c r="O8" l="1"/>
  <c r="Q8" s="1"/>
  <c r="I7"/>
  <c r="P7" s="1"/>
  <c r="O11"/>
  <c r="Q11" s="1"/>
  <c r="I11"/>
  <c r="P11" s="1"/>
  <c r="O10"/>
  <c r="Q10" s="1"/>
  <c r="I10"/>
  <c r="P10" s="1"/>
  <c r="O14"/>
  <c r="Q14" s="1"/>
  <c r="I14"/>
  <c r="P14" s="1"/>
  <c r="O18"/>
  <c r="Q18" s="1"/>
  <c r="I18"/>
  <c r="P18" s="1"/>
  <c r="O22"/>
  <c r="Q22" s="1"/>
  <c r="I22"/>
  <c r="P22" s="1"/>
  <c r="O26"/>
  <c r="Q26" s="1"/>
  <c r="I26"/>
  <c r="P26" s="1"/>
  <c r="O30"/>
  <c r="Q30" s="1"/>
  <c r="I30"/>
  <c r="P30" s="1"/>
  <c r="O34"/>
  <c r="Q34" s="1"/>
  <c r="I34"/>
  <c r="P34" s="1"/>
  <c r="O38"/>
  <c r="Q38" s="1"/>
  <c r="I38"/>
  <c r="P38" s="1"/>
  <c r="O44"/>
  <c r="Q44" s="1"/>
  <c r="I44"/>
  <c r="P44" s="1"/>
  <c r="O40"/>
  <c r="Q40" s="1"/>
  <c r="I40"/>
  <c r="P40" s="1"/>
  <c r="O12"/>
  <c r="Q12" s="1"/>
  <c r="I12"/>
  <c r="P12" s="1"/>
  <c r="O16"/>
  <c r="Q16" s="1"/>
  <c r="I16"/>
  <c r="P16" s="1"/>
  <c r="O20"/>
  <c r="Q20" s="1"/>
  <c r="I20"/>
  <c r="P20" s="1"/>
  <c r="O24"/>
  <c r="Q24" s="1"/>
  <c r="I24"/>
  <c r="P24" s="1"/>
  <c r="O28"/>
  <c r="Q28" s="1"/>
  <c r="I28"/>
  <c r="P28" s="1"/>
  <c r="O32"/>
  <c r="Q32" s="1"/>
  <c r="I32"/>
  <c r="P32" s="1"/>
  <c r="O36"/>
  <c r="Q36" s="1"/>
  <c r="I36"/>
  <c r="P36" s="1"/>
  <c r="O42"/>
  <c r="Q42" s="1"/>
  <c r="I42"/>
  <c r="P42" s="1"/>
  <c r="O15"/>
  <c r="Q15" s="1"/>
  <c r="I15"/>
  <c r="P15" s="1"/>
  <c r="O19"/>
  <c r="Q19" s="1"/>
  <c r="I19"/>
  <c r="P19" s="1"/>
  <c r="O23"/>
  <c r="Q23" s="1"/>
  <c r="I23"/>
  <c r="P23" s="1"/>
  <c r="O27"/>
  <c r="Q27" s="1"/>
  <c r="I27"/>
  <c r="P27" s="1"/>
  <c r="O31"/>
  <c r="Q31" s="1"/>
  <c r="I31"/>
  <c r="P31" s="1"/>
  <c r="O35"/>
  <c r="Q35" s="1"/>
  <c r="I35"/>
  <c r="P35" s="1"/>
  <c r="O39"/>
  <c r="Q39" s="1"/>
  <c r="I39"/>
  <c r="P39" s="1"/>
  <c r="O43"/>
  <c r="Q43" s="1"/>
  <c r="I43"/>
  <c r="P43" s="1"/>
  <c r="O9"/>
  <c r="Q9" s="1"/>
  <c r="I9"/>
  <c r="P9" s="1"/>
  <c r="O13"/>
  <c r="Q13" s="1"/>
  <c r="I13"/>
  <c r="P13" s="1"/>
  <c r="O17"/>
  <c r="Q17" s="1"/>
  <c r="I17"/>
  <c r="P17" s="1"/>
  <c r="O21"/>
  <c r="Q21" s="1"/>
  <c r="I21"/>
  <c r="P21" s="1"/>
  <c r="O25"/>
  <c r="Q25" s="1"/>
  <c r="I25"/>
  <c r="P25" s="1"/>
  <c r="O29"/>
  <c r="Q29" s="1"/>
  <c r="I29"/>
  <c r="P29" s="1"/>
  <c r="O33"/>
  <c r="Q33" s="1"/>
  <c r="I33"/>
  <c r="P33" s="1"/>
  <c r="O37"/>
  <c r="Q37" s="1"/>
  <c r="I37"/>
  <c r="P37" s="1"/>
  <c r="O41"/>
  <c r="Q41" s="1"/>
  <c r="I41"/>
  <c r="P41" s="1"/>
</calcChain>
</file>

<file path=xl/sharedStrings.xml><?xml version="1.0" encoding="utf-8"?>
<sst xmlns="http://schemas.openxmlformats.org/spreadsheetml/2006/main" count="208" uniqueCount="178">
  <si>
    <t>Mid Sem</t>
  </si>
  <si>
    <t>Theory slot</t>
  </si>
  <si>
    <t>Practical Slot</t>
  </si>
  <si>
    <t>10 (8)</t>
  </si>
  <si>
    <t>11(4+9)</t>
  </si>
  <si>
    <t>12(5+9)</t>
  </si>
  <si>
    <t>Enrollment No.</t>
  </si>
  <si>
    <t>Name of Student</t>
  </si>
  <si>
    <t>Classes Attended</t>
  </si>
  <si>
    <t>Att. %</t>
  </si>
  <si>
    <t xml:space="preserve">Att. Marks 
</t>
  </si>
  <si>
    <t>Mid sem - I Marks</t>
  </si>
  <si>
    <t>Mid sem - II Marks</t>
  </si>
  <si>
    <t>Best of Two out of 20</t>
  </si>
  <si>
    <t>Teacher's Marks</t>
  </si>
  <si>
    <t>Theory slot (20)</t>
  </si>
  <si>
    <t>Th. Quiz/ Assign. Marks (10) 
10</t>
  </si>
  <si>
    <t>Pr. Lab work &amp; Sessional marks (20)</t>
  </si>
  <si>
    <t xml:space="preserve">Th </t>
  </si>
  <si>
    <t>Pr</t>
  </si>
  <si>
    <t>Total</t>
  </si>
  <si>
    <t>Out of</t>
  </si>
  <si>
    <t xml:space="preserve">Teacher's Name: </t>
  </si>
  <si>
    <t>S. No.</t>
  </si>
  <si>
    <t>HOD: Dr. Bhupesh Gour</t>
  </si>
  <si>
    <t>Vijendra Singh Palash</t>
  </si>
  <si>
    <t>0157CY231079</t>
  </si>
  <si>
    <t>Piyush Kushwaha</t>
  </si>
  <si>
    <t>0157CY231080</t>
  </si>
  <si>
    <t>Prachi Khatarkar</t>
  </si>
  <si>
    <t>0157CY231081</t>
  </si>
  <si>
    <t>Pranay Pawahanee</t>
  </si>
  <si>
    <t>0157CY231082</t>
  </si>
  <si>
    <t>Prasanna Joshi</t>
  </si>
  <si>
    <t>0157CY231083</t>
  </si>
  <si>
    <t>Prativ Kumar Shukla</t>
  </si>
  <si>
    <t>0157CY231084</t>
  </si>
  <si>
    <t>Prince Vishwakarma</t>
  </si>
  <si>
    <t>0157CY231085</t>
  </si>
  <si>
    <t>Priyansh Kanwar</t>
  </si>
  <si>
    <t>0157CY231086</t>
  </si>
  <si>
    <t>Priyansh Singh</t>
  </si>
  <si>
    <t>0157CY231087</t>
  </si>
  <si>
    <t>Priyanshu Amulani</t>
  </si>
  <si>
    <t>0157CY231088</t>
  </si>
  <si>
    <t>Priyanshu Sahu</t>
  </si>
  <si>
    <t>0157CY231089</t>
  </si>
  <si>
    <t>Priyanshu Shekhar</t>
  </si>
  <si>
    <t>0157CY231090</t>
  </si>
  <si>
    <t>0157CY231091</t>
  </si>
  <si>
    <t>Purva Kanathe</t>
  </si>
  <si>
    <t>0157CY231092</t>
  </si>
  <si>
    <t>Raghav Pandey</t>
  </si>
  <si>
    <t>0157CY231093</t>
  </si>
  <si>
    <t>Raghuvansh Koushal</t>
  </si>
  <si>
    <t>0157CY231094</t>
  </si>
  <si>
    <t>Rahul Kumar</t>
  </si>
  <si>
    <t>0157CY231095</t>
  </si>
  <si>
    <t>Raj Kumar</t>
  </si>
  <si>
    <t>0157CY231096</t>
  </si>
  <si>
    <t>Ram Sahu</t>
  </si>
  <si>
    <t>0157CY231097</t>
  </si>
  <si>
    <t>Ramansh Chauhan</t>
  </si>
  <si>
    <t>0157CY231099</t>
  </si>
  <si>
    <t>Reshu Gupta</t>
  </si>
  <si>
    <t>0157CY231100</t>
  </si>
  <si>
    <t>Ridhi Singh</t>
  </si>
  <si>
    <t>0157CY231101</t>
  </si>
  <si>
    <t>Rishika Pandagre</t>
  </si>
  <si>
    <t>0157CY231102</t>
  </si>
  <si>
    <t>Ritesh Raman</t>
  </si>
  <si>
    <t>0157CY231103</t>
  </si>
  <si>
    <t>Rohit Jeetendra Singh</t>
  </si>
  <si>
    <t>0157CY231104</t>
  </si>
  <si>
    <t>Rohit Kumar</t>
  </si>
  <si>
    <t>0157CY231105</t>
  </si>
  <si>
    <t>Rohit Kushwah</t>
  </si>
  <si>
    <t>0157CY231106</t>
  </si>
  <si>
    <t>Rohit Singh Baghel</t>
  </si>
  <si>
    <t>0157CY231107</t>
  </si>
  <si>
    <t>Sagar Kumar</t>
  </si>
  <si>
    <t>0157CY231109</t>
  </si>
  <si>
    <t>Sahil Malaiya</t>
  </si>
  <si>
    <t>0157CY231110</t>
  </si>
  <si>
    <t>Sahil Samaiya</t>
  </si>
  <si>
    <t>0157CY231111</t>
  </si>
  <si>
    <t>Sakshi Devendra Khatri</t>
  </si>
  <si>
    <t>0157CY231112</t>
  </si>
  <si>
    <t>Saloni Agrawal</t>
  </si>
  <si>
    <t>0157CY231113</t>
  </si>
  <si>
    <t>Sameer Singh</t>
  </si>
  <si>
    <t>0157CY231114</t>
  </si>
  <si>
    <t>Sankalp Dhankade</t>
  </si>
  <si>
    <t>0157CY231115</t>
  </si>
  <si>
    <t>Sargam Soni</t>
  </si>
  <si>
    <t>0157CY231116</t>
  </si>
  <si>
    <t>Saumya Agrawal</t>
  </si>
  <si>
    <t>0157CY231117</t>
  </si>
  <si>
    <t>Shakir Mansuri</t>
  </si>
  <si>
    <t>0157CY231118</t>
  </si>
  <si>
    <t>Shikha Patle</t>
  </si>
  <si>
    <t>0157CY231119</t>
  </si>
  <si>
    <t>Shivansh Dixit</t>
  </si>
  <si>
    <t>0157CY231120</t>
  </si>
  <si>
    <t>Shivansh Rao</t>
  </si>
  <si>
    <t>0157CY231121</t>
  </si>
  <si>
    <t>Shreya Jain</t>
  </si>
  <si>
    <t>0157CY231122</t>
  </si>
  <si>
    <t>Shubham Kumar</t>
  </si>
  <si>
    <t>0157CY231123</t>
  </si>
  <si>
    <t>Shubham Sharma</t>
  </si>
  <si>
    <t>0157CY231124</t>
  </si>
  <si>
    <t>Shubhi Yadav</t>
  </si>
  <si>
    <t>0157CY231125</t>
  </si>
  <si>
    <t>Siddhant Dwivedi</t>
  </si>
  <si>
    <t>0157CY231126</t>
  </si>
  <si>
    <t>Siddharth Saxena</t>
  </si>
  <si>
    <t>0157CY231127</t>
  </si>
  <si>
    <t>Smriti Vishnoi</t>
  </si>
  <si>
    <t>0157CY231128</t>
  </si>
  <si>
    <t>Sneha Kumari</t>
  </si>
  <si>
    <t>0157CY231129</t>
  </si>
  <si>
    <t>Somya Sahu</t>
  </si>
  <si>
    <t>0157CY231130</t>
  </si>
  <si>
    <t>Sonal Raj</t>
  </si>
  <si>
    <t>0157CY231131</t>
  </si>
  <si>
    <t>Soumya Bisen</t>
  </si>
  <si>
    <t>0157CY231132</t>
  </si>
  <si>
    <t>Sudeep Tiwari</t>
  </si>
  <si>
    <t>0157CY231133</t>
  </si>
  <si>
    <t>Suhani Bharti</t>
  </si>
  <si>
    <t>0157CY231134</t>
  </si>
  <si>
    <t>Surbhi Singh</t>
  </si>
  <si>
    <t>0157CY231135</t>
  </si>
  <si>
    <t>Syed Zaid Rehman</t>
  </si>
  <si>
    <t>0157CY231136</t>
  </si>
  <si>
    <t>Tanishka Tomar</t>
  </si>
  <si>
    <t>0157CY231137</t>
  </si>
  <si>
    <t>Tanu Patidar</t>
  </si>
  <si>
    <t>0157CY231138</t>
  </si>
  <si>
    <t>Taruna Jain</t>
  </si>
  <si>
    <t>0157CY231139</t>
  </si>
  <si>
    <t>Tina Motwani</t>
  </si>
  <si>
    <t>0157CY231140</t>
  </si>
  <si>
    <t>Uday Sharma</t>
  </si>
  <si>
    <t>0157CY231141</t>
  </si>
  <si>
    <t>0157CY231142</t>
  </si>
  <si>
    <t>Ujjwal Sahu</t>
  </si>
  <si>
    <t>0157CY231143</t>
  </si>
  <si>
    <t>Utkarsh Saxena</t>
  </si>
  <si>
    <t>0157CY231144</t>
  </si>
  <si>
    <t>Utkarsh Tiwari</t>
  </si>
  <si>
    <t>0157CY231145</t>
  </si>
  <si>
    <t>Vansh Patidar</t>
  </si>
  <si>
    <t>0157CY231146</t>
  </si>
  <si>
    <t>Vansh Sachdeva</t>
  </si>
  <si>
    <t>0157CY231147</t>
  </si>
  <si>
    <t>Vedant Kumar Shukla</t>
  </si>
  <si>
    <t>0157CY231148</t>
  </si>
  <si>
    <t>Vibhor Prasad</t>
  </si>
  <si>
    <t>0157CY231149</t>
  </si>
  <si>
    <t>Vidhi Chandravanshi</t>
  </si>
  <si>
    <t>0157CY231150</t>
  </si>
  <si>
    <t>Vidhi Patel</t>
  </si>
  <si>
    <t>0157CY231151</t>
  </si>
  <si>
    <t>Vidisha Singh</t>
  </si>
  <si>
    <t>0157CY231152</t>
  </si>
  <si>
    <t>Vivek Dhote</t>
  </si>
  <si>
    <t>0157CY231153</t>
  </si>
  <si>
    <t>Vivek Kumar</t>
  </si>
  <si>
    <t>0157CY231155</t>
  </si>
  <si>
    <t>Yash Ramakant Khatke</t>
  </si>
  <si>
    <t>0157CY231156</t>
  </si>
  <si>
    <t>Yashika Gupta</t>
  </si>
  <si>
    <t>0157CY243D01</t>
  </si>
  <si>
    <t>Abhishek Singh</t>
  </si>
  <si>
    <t xml:space="preserve">Lakshmi Narain College of Technology &amp; Science, BHOPAL
     Sessional Sheet
                    Branch : CSE-CY                               Sem :  IV                                  Section : B
           Subject &amp; Sub. Code :Fundamental of cy Security CY-402    Month &amp; Year :  JAN-JUNE  2025                   Sheet : 1                                                               </t>
  </si>
  <si>
    <t xml:space="preserve">Lakshmi Narain College of Technology &amp; Science, BHOPAL
     Sessional Sheet
                    Branch : CSE-CY                                Sem :  IV                                  Section : B
           Subject &amp; Sub. Code :Fundamental of cy Security CY-402    Month &amp; Year :  JAN-JUNE 2025                   Sheet : 2                                                               </t>
  </si>
</sst>
</file>

<file path=xl/styles.xml><?xml version="1.0" encoding="utf-8"?>
<styleSheet xmlns="http://schemas.openxmlformats.org/spreadsheetml/2006/main">
  <numFmts count="1">
    <numFmt numFmtId="164" formatCode="0;[Red]0"/>
  </numFmts>
  <fonts count="27">
    <font>
      <sz val="10"/>
      <color rgb="FF000000"/>
      <name val="Calibri"/>
      <scheme val="minor"/>
    </font>
    <font>
      <b/>
      <sz val="14"/>
      <name val="Times New Roman"/>
      <family val="1"/>
    </font>
    <font>
      <b/>
      <sz val="9"/>
      <name val="Arial Narrow"/>
      <family val="2"/>
    </font>
    <font>
      <sz val="9"/>
      <name val="Arial Narrow"/>
      <family val="2"/>
    </font>
    <font>
      <sz val="14"/>
      <name val="Times New Roman"/>
      <family val="1"/>
    </font>
    <font>
      <sz val="9"/>
      <name val="Times New Roman"/>
      <family val="1"/>
    </font>
    <font>
      <sz val="10"/>
      <name val="Times New Roman"/>
      <family val="1"/>
    </font>
    <font>
      <sz val="12"/>
      <name val="Times New Roman"/>
      <family val="1"/>
    </font>
    <font>
      <sz val="10"/>
      <name val="Arial Narrow"/>
      <family val="2"/>
    </font>
    <font>
      <b/>
      <sz val="15"/>
      <name val="Times New Roman"/>
      <family val="1"/>
    </font>
    <font>
      <sz val="15"/>
      <name val="Calibri"/>
      <family val="2"/>
    </font>
    <font>
      <sz val="15"/>
      <name val="Times New Roman"/>
      <family val="1"/>
    </font>
    <font>
      <b/>
      <sz val="18"/>
      <name val="Times New Roman"/>
      <family val="1"/>
    </font>
    <font>
      <sz val="18"/>
      <name val="Calibri"/>
      <family val="2"/>
    </font>
    <font>
      <b/>
      <sz val="12"/>
      <name val="Arial Narrow"/>
      <family val="2"/>
    </font>
    <font>
      <sz val="18"/>
      <name val="Times New Roman"/>
      <family val="1"/>
    </font>
    <font>
      <sz val="18"/>
      <color rgb="FF000000"/>
      <name val="Calibri"/>
      <family val="2"/>
      <scheme val="minor"/>
    </font>
    <font>
      <b/>
      <sz val="18"/>
      <color rgb="FF000000"/>
      <name val="Times New Roman"/>
      <family val="1"/>
    </font>
    <font>
      <sz val="18"/>
      <color rgb="FF000000"/>
      <name val="Times New Roman"/>
      <family val="1"/>
    </font>
    <font>
      <sz val="18"/>
      <color rgb="FF000000"/>
      <name val="Arial"/>
      <family val="2"/>
    </font>
    <font>
      <sz val="20"/>
      <name val="Times New Roman"/>
      <family val="1"/>
    </font>
    <font>
      <b/>
      <sz val="20"/>
      <name val="Times New Roman"/>
      <family val="1"/>
    </font>
    <font>
      <b/>
      <sz val="18"/>
      <color rgb="FF000000"/>
      <name val="Arial Narrow"/>
      <family val="2"/>
    </font>
    <font>
      <b/>
      <sz val="18"/>
      <color rgb="FF00FF00"/>
      <name val="Arial Narrow"/>
      <family val="2"/>
    </font>
    <font>
      <sz val="18"/>
      <color rgb="FF000000"/>
      <name val="Arial Narrow"/>
      <family val="2"/>
    </font>
    <font>
      <sz val="18"/>
      <color rgb="FF000000"/>
      <name val="Calibri"/>
      <family val="2"/>
    </font>
    <font>
      <b/>
      <sz val="18"/>
      <color rgb="FF000000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DDDDDD"/>
        <bgColor rgb="FFDDDDDD"/>
      </patternFill>
    </fill>
    <fill>
      <patternFill patternType="solid">
        <fgColor theme="0"/>
        <bgColor rgb="FFFFFFFF"/>
      </patternFill>
    </fill>
    <fill>
      <patternFill patternType="solid">
        <fgColor theme="0"/>
        <bgColor indexed="64"/>
      </patternFill>
    </fill>
    <fill>
      <patternFill patternType="solid">
        <fgColor rgb="FFFFFFFF"/>
        <bgColor indexed="64"/>
      </patternFill>
    </fill>
  </fills>
  <borders count="10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</borders>
  <cellStyleXfs count="1">
    <xf numFmtId="0" fontId="0" fillId="0" borderId="0"/>
  </cellStyleXfs>
  <cellXfs count="75">
    <xf numFmtId="0" fontId="0" fillId="0" borderId="0" xfId="0" applyFont="1" applyAlignment="1"/>
    <xf numFmtId="0" fontId="2" fillId="2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/>
    </xf>
    <xf numFmtId="0" fontId="2" fillId="2" borderId="1" xfId="0" applyFont="1" applyFill="1" applyBorder="1" applyAlignment="1">
      <alignment wrapText="1"/>
    </xf>
    <xf numFmtId="0" fontId="4" fillId="2" borderId="1" xfId="0" applyFont="1" applyFill="1" applyBorder="1" applyAlignment="1">
      <alignment horizontal="center"/>
    </xf>
    <xf numFmtId="0" fontId="3" fillId="2" borderId="1" xfId="0" applyFont="1" applyFill="1" applyBorder="1"/>
    <xf numFmtId="0" fontId="1" fillId="2" borderId="1" xfId="0" applyFont="1" applyFill="1" applyBorder="1"/>
    <xf numFmtId="0" fontId="5" fillId="2" borderId="1" xfId="0" applyFont="1" applyFill="1" applyBorder="1" applyAlignment="1">
      <alignment horizontal="center"/>
    </xf>
    <xf numFmtId="0" fontId="5" fillId="2" borderId="1" xfId="0" applyFont="1" applyFill="1" applyBorder="1" applyAlignment="1">
      <alignment horizontal="left"/>
    </xf>
    <xf numFmtId="0" fontId="5" fillId="2" borderId="1" xfId="0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/>
    </xf>
    <xf numFmtId="0" fontId="7" fillId="2" borderId="1" xfId="0" applyFont="1" applyFill="1" applyBorder="1" applyAlignment="1">
      <alignment horizontal="center"/>
    </xf>
    <xf numFmtId="0" fontId="3" fillId="2" borderId="1" xfId="0" applyFont="1" applyFill="1" applyBorder="1" applyAlignment="1">
      <alignment horizontal="left"/>
    </xf>
    <xf numFmtId="0" fontId="3" fillId="2" borderId="1" xfId="0" applyFont="1" applyFill="1" applyBorder="1" applyAlignment="1">
      <alignment horizontal="center" vertical="center"/>
    </xf>
    <xf numFmtId="0" fontId="8" fillId="2" borderId="1" xfId="0" applyFont="1" applyFill="1" applyBorder="1" applyAlignment="1">
      <alignment horizontal="center"/>
    </xf>
    <xf numFmtId="0" fontId="11" fillId="2" borderId="1" xfId="0" applyFont="1" applyFill="1" applyBorder="1" applyAlignment="1">
      <alignment horizontal="center"/>
    </xf>
    <xf numFmtId="0" fontId="11" fillId="2" borderId="1" xfId="0" applyFont="1" applyFill="1" applyBorder="1" applyAlignment="1">
      <alignment horizontal="left"/>
    </xf>
    <xf numFmtId="0" fontId="11" fillId="2" borderId="1" xfId="0" applyFont="1" applyFill="1" applyBorder="1" applyAlignment="1">
      <alignment horizontal="center" vertical="center"/>
    </xf>
    <xf numFmtId="0" fontId="9" fillId="2" borderId="1" xfId="0" applyFont="1" applyFill="1" applyBorder="1"/>
    <xf numFmtId="0" fontId="12" fillId="2" borderId="5" xfId="0" applyFont="1" applyFill="1" applyBorder="1" applyAlignment="1">
      <alignment horizontal="center" vertical="center"/>
    </xf>
    <xf numFmtId="0" fontId="12" fillId="2" borderId="5" xfId="0" applyFont="1" applyFill="1" applyBorder="1" applyAlignment="1">
      <alignment horizontal="left" vertical="center"/>
    </xf>
    <xf numFmtId="0" fontId="12" fillId="3" borderId="5" xfId="0" applyFont="1" applyFill="1" applyBorder="1" applyAlignment="1">
      <alignment horizontal="center" vertical="center" wrapText="1"/>
    </xf>
    <xf numFmtId="0" fontId="12" fillId="2" borderId="5" xfId="0" applyFont="1" applyFill="1" applyBorder="1" applyAlignment="1">
      <alignment horizontal="center" vertical="center" wrapText="1"/>
    </xf>
    <xf numFmtId="0" fontId="14" fillId="2" borderId="1" xfId="0" applyFont="1" applyFill="1" applyBorder="1" applyAlignment="1">
      <alignment wrapText="1"/>
    </xf>
    <xf numFmtId="0" fontId="12" fillId="2" borderId="5" xfId="0" applyFont="1" applyFill="1" applyBorder="1" applyAlignment="1">
      <alignment horizontal="center" vertical="center" wrapText="1"/>
    </xf>
    <xf numFmtId="0" fontId="12" fillId="2" borderId="5" xfId="0" applyFont="1" applyFill="1" applyBorder="1" applyAlignment="1">
      <alignment horizontal="center" vertical="center"/>
    </xf>
    <xf numFmtId="0" fontId="12" fillId="2" borderId="5" xfId="0" applyFont="1" applyFill="1" applyBorder="1" applyAlignment="1">
      <alignment horizontal="center" vertical="center"/>
    </xf>
    <xf numFmtId="0" fontId="4" fillId="2" borderId="4" xfId="0" applyFont="1" applyFill="1" applyBorder="1" applyAlignment="1">
      <alignment horizontal="center"/>
    </xf>
    <xf numFmtId="0" fontId="11" fillId="2" borderId="4" xfId="0" applyFont="1" applyFill="1" applyBorder="1" applyAlignment="1">
      <alignment horizontal="center"/>
    </xf>
    <xf numFmtId="0" fontId="11" fillId="2" borderId="4" xfId="0" applyFont="1" applyFill="1" applyBorder="1" applyAlignment="1">
      <alignment horizontal="left"/>
    </xf>
    <xf numFmtId="0" fontId="11" fillId="2" borderId="4" xfId="0" applyFont="1" applyFill="1" applyBorder="1" applyAlignment="1">
      <alignment horizontal="center" vertical="center"/>
    </xf>
    <xf numFmtId="0" fontId="3" fillId="2" borderId="4" xfId="0" applyFont="1" applyFill="1" applyBorder="1"/>
    <xf numFmtId="0" fontId="15" fillId="4" borderId="5" xfId="0" applyFont="1" applyFill="1" applyBorder="1" applyAlignment="1">
      <alignment horizontal="center" vertical="center"/>
    </xf>
    <xf numFmtId="0" fontId="9" fillId="2" borderId="1" xfId="0" applyFont="1" applyFill="1" applyBorder="1" applyAlignment="1"/>
    <xf numFmtId="0" fontId="12" fillId="2" borderId="5" xfId="0" applyFont="1" applyFill="1" applyBorder="1" applyAlignment="1">
      <alignment horizontal="center" vertical="center"/>
    </xf>
    <xf numFmtId="0" fontId="16" fillId="0" borderId="7" xfId="0" applyFont="1" applyBorder="1" applyAlignment="1">
      <alignment wrapText="1"/>
    </xf>
    <xf numFmtId="0" fontId="17" fillId="0" borderId="7" xfId="0" applyFont="1" applyBorder="1" applyAlignment="1">
      <alignment horizontal="center" wrapText="1"/>
    </xf>
    <xf numFmtId="0" fontId="18" fillId="0" borderId="7" xfId="0" applyFont="1" applyBorder="1" applyAlignment="1">
      <alignment horizontal="center" wrapText="1"/>
    </xf>
    <xf numFmtId="0" fontId="18" fillId="0" borderId="6" xfId="0" applyFont="1" applyBorder="1" applyAlignment="1">
      <alignment horizontal="center" wrapText="1"/>
    </xf>
    <xf numFmtId="0" fontId="16" fillId="0" borderId="7" xfId="0" applyFont="1" applyBorder="1" applyAlignment="1">
      <alignment horizontal="center" wrapText="1"/>
    </xf>
    <xf numFmtId="0" fontId="19" fillId="6" borderId="6" xfId="0" applyFont="1" applyFill="1" applyBorder="1" applyAlignment="1">
      <alignment horizontal="center" wrapText="1"/>
    </xf>
    <xf numFmtId="0" fontId="19" fillId="6" borderId="7" xfId="0" applyFont="1" applyFill="1" applyBorder="1" applyAlignment="1">
      <alignment horizontal="center" wrapText="1"/>
    </xf>
    <xf numFmtId="0" fontId="20" fillId="4" borderId="5" xfId="0" applyFont="1" applyFill="1" applyBorder="1" applyAlignment="1">
      <alignment horizontal="center" vertical="center"/>
    </xf>
    <xf numFmtId="0" fontId="21" fillId="4" borderId="5" xfId="0" applyFont="1" applyFill="1" applyBorder="1" applyAlignment="1">
      <alignment horizontal="center" vertical="center"/>
    </xf>
    <xf numFmtId="0" fontId="21" fillId="2" borderId="5" xfId="0" applyFont="1" applyFill="1" applyBorder="1" applyAlignment="1">
      <alignment horizontal="center" vertical="center"/>
    </xf>
    <xf numFmtId="164" fontId="20" fillId="5" borderId="5" xfId="0" applyNumberFormat="1" applyFont="1" applyFill="1" applyBorder="1" applyAlignment="1">
      <alignment horizontal="center" vertical="center"/>
    </xf>
    <xf numFmtId="0" fontId="12" fillId="4" borderId="5" xfId="0" applyFont="1" applyFill="1" applyBorder="1" applyAlignment="1">
      <alignment horizontal="center" vertical="center"/>
    </xf>
    <xf numFmtId="0" fontId="22" fillId="0" borderId="6" xfId="0" applyFont="1" applyBorder="1" applyAlignment="1">
      <alignment horizontal="center" wrapText="1"/>
    </xf>
    <xf numFmtId="164" fontId="15" fillId="4" borderId="5" xfId="0" applyNumberFormat="1" applyFont="1" applyFill="1" applyBorder="1" applyAlignment="1">
      <alignment horizontal="center" vertical="center"/>
    </xf>
    <xf numFmtId="164" fontId="15" fillId="5" borderId="5" xfId="0" applyNumberFormat="1" applyFont="1" applyFill="1" applyBorder="1" applyAlignment="1">
      <alignment horizontal="center" vertical="center"/>
    </xf>
    <xf numFmtId="0" fontId="22" fillId="0" borderId="7" xfId="0" applyFont="1" applyBorder="1" applyAlignment="1">
      <alignment horizontal="center" wrapText="1"/>
    </xf>
    <xf numFmtId="0" fontId="23" fillId="0" borderId="7" xfId="0" applyFont="1" applyBorder="1" applyAlignment="1">
      <alignment horizontal="center" wrapText="1"/>
    </xf>
    <xf numFmtId="0" fontId="12" fillId="2" borderId="5" xfId="0" applyFont="1" applyFill="1" applyBorder="1" applyAlignment="1">
      <alignment horizontal="center" vertical="top" wrapText="1"/>
    </xf>
    <xf numFmtId="0" fontId="13" fillId="0" borderId="5" xfId="0" applyFont="1" applyBorder="1"/>
    <xf numFmtId="0" fontId="12" fillId="2" borderId="5" xfId="0" applyFont="1" applyFill="1" applyBorder="1" applyAlignment="1">
      <alignment horizontal="center" vertical="center" wrapText="1"/>
    </xf>
    <xf numFmtId="0" fontId="12" fillId="2" borderId="5" xfId="0" applyFont="1" applyFill="1" applyBorder="1" applyAlignment="1">
      <alignment horizontal="center" vertical="center"/>
    </xf>
    <xf numFmtId="0" fontId="9" fillId="2" borderId="2" xfId="0" applyFont="1" applyFill="1" applyBorder="1" applyAlignment="1">
      <alignment horizontal="center"/>
    </xf>
    <xf numFmtId="0" fontId="10" fillId="0" borderId="3" xfId="0" applyFont="1" applyBorder="1"/>
    <xf numFmtId="0" fontId="10" fillId="0" borderId="4" xfId="0" applyFont="1" applyBorder="1"/>
    <xf numFmtId="0" fontId="12" fillId="0" borderId="5" xfId="0" applyFont="1" applyBorder="1" applyAlignment="1">
      <alignment horizontal="center" vertical="center" wrapText="1"/>
    </xf>
    <xf numFmtId="0" fontId="24" fillId="0" borderId="6" xfId="0" applyFont="1" applyBorder="1" applyAlignment="1">
      <alignment horizontal="center" wrapText="1"/>
    </xf>
    <xf numFmtId="0" fontId="24" fillId="0" borderId="8" xfId="0" applyFont="1" applyBorder="1" applyAlignment="1">
      <alignment horizontal="center" wrapText="1"/>
    </xf>
    <xf numFmtId="0" fontId="24" fillId="0" borderId="8" xfId="0" applyFont="1" applyBorder="1" applyAlignment="1">
      <alignment wrapText="1"/>
    </xf>
    <xf numFmtId="0" fontId="24" fillId="0" borderId="7" xfId="0" applyFont="1" applyBorder="1" applyAlignment="1">
      <alignment horizontal="center" wrapText="1"/>
    </xf>
    <xf numFmtId="0" fontId="24" fillId="0" borderId="9" xfId="0" applyFont="1" applyBorder="1" applyAlignment="1">
      <alignment horizontal="center" wrapText="1"/>
    </xf>
    <xf numFmtId="0" fontId="24" fillId="0" borderId="9" xfId="0" applyFont="1" applyBorder="1" applyAlignment="1">
      <alignment wrapText="1"/>
    </xf>
    <xf numFmtId="0" fontId="22" fillId="0" borderId="9" xfId="0" applyFont="1" applyBorder="1" applyAlignment="1">
      <alignment horizontal="center" wrapText="1"/>
    </xf>
    <xf numFmtId="0" fontId="22" fillId="0" borderId="9" xfId="0" applyFont="1" applyBorder="1" applyAlignment="1">
      <alignment wrapText="1"/>
    </xf>
    <xf numFmtId="0" fontId="25" fillId="0" borderId="7" xfId="0" applyFont="1" applyBorder="1" applyAlignment="1">
      <alignment horizontal="center" wrapText="1"/>
    </xf>
    <xf numFmtId="0" fontId="19" fillId="0" borderId="7" xfId="0" applyFont="1" applyBorder="1" applyAlignment="1">
      <alignment horizontal="center" wrapText="1"/>
    </xf>
    <xf numFmtId="0" fontId="17" fillId="6" borderId="7" xfId="0" applyFont="1" applyFill="1" applyBorder="1" applyAlignment="1">
      <alignment horizontal="center" wrapText="1"/>
    </xf>
    <xf numFmtId="0" fontId="19" fillId="6" borderId="8" xfId="0" applyFont="1" applyFill="1" applyBorder="1" applyAlignment="1">
      <alignment horizontal="center" wrapText="1"/>
    </xf>
    <xf numFmtId="0" fontId="19" fillId="6" borderId="9" xfId="0" applyFont="1" applyFill="1" applyBorder="1" applyAlignment="1">
      <alignment horizontal="center" wrapText="1"/>
    </xf>
    <xf numFmtId="0" fontId="26" fillId="6" borderId="7" xfId="0" applyFont="1" applyFill="1" applyBorder="1" applyAlignment="1">
      <alignment horizontal="center" wrapText="1"/>
    </xf>
    <xf numFmtId="0" fontId="26" fillId="6" borderId="9" xfId="0" applyFont="1" applyFill="1" applyBorder="1" applyAlignment="1">
      <alignment horizontal="center" wrapText="1"/>
    </xf>
  </cellXfs>
  <cellStyles count="1">
    <cellStyle name="Normal" xfId="0" builtinId="0"/>
  </cellStyles>
  <dxfs count="9"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800080"/>
      </font>
      <fill>
        <patternFill patternType="none"/>
      </fill>
    </dxf>
    <dxf>
      <font>
        <color rgb="FFFF00FF"/>
      </font>
      <fill>
        <patternFill patternType="none"/>
      </fill>
    </dxf>
    <dxf>
      <font>
        <color rgb="FFFF0000"/>
      </font>
      <fill>
        <patternFill patternType="none"/>
      </fill>
    </dxf>
  </dxfs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337457</xdr:colOff>
      <xdr:row>0</xdr:row>
      <xdr:rowOff>152401</xdr:rowOff>
    </xdr:from>
    <xdr:ext cx="962025" cy="866775"/>
    <xdr:pic>
      <xdr:nvPicPr>
        <xdr:cNvPr id="2" name="image1.jpg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337457" y="152401"/>
          <a:ext cx="962025" cy="866775"/>
        </a:xfrm>
        <a:prstGeom prst="rect">
          <a:avLst/>
        </a:prstGeom>
        <a:noFill/>
      </xdr:spPr>
    </xdr:pic>
    <xdr:clientData fLocksWithSheet="0"/>
  </xdr:oneCellAnchor>
  <xdr:oneCellAnchor>
    <xdr:from>
      <xdr:col>0</xdr:col>
      <xdr:colOff>337457</xdr:colOff>
      <xdr:row>0</xdr:row>
      <xdr:rowOff>152401</xdr:rowOff>
    </xdr:from>
    <xdr:ext cx="962025" cy="866775"/>
    <xdr:pic>
      <xdr:nvPicPr>
        <xdr:cNvPr id="3" name="image1.jpg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337457" y="152401"/>
          <a:ext cx="962025" cy="866775"/>
        </a:xfrm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337457</xdr:colOff>
      <xdr:row>0</xdr:row>
      <xdr:rowOff>152401</xdr:rowOff>
    </xdr:from>
    <xdr:ext cx="962025" cy="866775"/>
    <xdr:pic>
      <xdr:nvPicPr>
        <xdr:cNvPr id="2" name="image1.jpg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337457" y="152401"/>
          <a:ext cx="962025" cy="866775"/>
        </a:xfrm>
        <a:prstGeom prst="rect">
          <a:avLst/>
        </a:prstGeom>
        <a:noFill/>
      </xdr:spPr>
    </xdr:pic>
    <xdr:clientData fLocksWithSheet="0"/>
  </xdr:oneCellAnchor>
  <xdr:oneCellAnchor>
    <xdr:from>
      <xdr:col>0</xdr:col>
      <xdr:colOff>337457</xdr:colOff>
      <xdr:row>0</xdr:row>
      <xdr:rowOff>152401</xdr:rowOff>
    </xdr:from>
    <xdr:ext cx="962025" cy="866775"/>
    <xdr:pic>
      <xdr:nvPicPr>
        <xdr:cNvPr id="3" name="image1.jpg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337457" y="152401"/>
          <a:ext cx="962025" cy="866775"/>
        </a:xfrm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090000"/>
        </a:solidFill>
        <a:ln w="9525" cap="flat" cmpd="sng" algn="ctr">
          <a:solidFill>
            <a:srgbClr val="400000"/>
          </a:solidFill>
          <a:prstDash val="solid"/>
          <a:round/>
          <a:headEnd type="none" w="med" len="med"/>
          <a:tailEnd type="none" w="med" len="med"/>
        </a:ln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090000"/>
        </a:solidFill>
        <a:ln w="9525" cap="flat" cmpd="sng" algn="ctr">
          <a:solidFill>
            <a:srgbClr val="400000"/>
          </a:solidFill>
          <a:prstDash val="solid"/>
          <a:round/>
          <a:headEnd type="none" w="med" len="med"/>
          <a:tailEnd type="none" w="med" len="med"/>
        </a:ln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>
  <sheetPr>
    <pageSetUpPr fitToPage="1"/>
  </sheetPr>
  <dimension ref="A1:AI65"/>
  <sheetViews>
    <sheetView view="pageBreakPreview" topLeftCell="A22" zoomScale="60" workbookViewId="0">
      <selection activeCell="N18" sqref="N18"/>
    </sheetView>
  </sheetViews>
  <sheetFormatPr defaultColWidth="14.42578125" defaultRowHeight="15" customHeight="1"/>
  <cols>
    <col min="1" max="1" width="20.140625" customWidth="1"/>
    <col min="2" max="2" width="22.7109375" customWidth="1"/>
    <col min="3" max="3" width="34" customWidth="1"/>
    <col min="4" max="16" width="16.7109375" customWidth="1"/>
    <col min="17" max="35" width="11.140625" customWidth="1"/>
  </cols>
  <sheetData>
    <row r="1" spans="1:35" ht="100.5" customHeight="1">
      <c r="A1" s="52" t="s">
        <v>176</v>
      </c>
      <c r="B1" s="52"/>
      <c r="C1" s="52"/>
      <c r="D1" s="52"/>
      <c r="E1" s="52"/>
      <c r="F1" s="52"/>
      <c r="G1" s="52"/>
      <c r="H1" s="52"/>
      <c r="I1" s="52"/>
      <c r="J1" s="52"/>
      <c r="K1" s="52"/>
      <c r="L1" s="52"/>
      <c r="M1" s="52"/>
      <c r="N1" s="52"/>
      <c r="O1" s="52"/>
      <c r="P1" s="52"/>
    </row>
    <row r="2" spans="1:35" ht="42" customHeight="1">
      <c r="A2" s="19"/>
      <c r="B2" s="19"/>
      <c r="C2" s="20"/>
      <c r="D2" s="19"/>
      <c r="E2" s="19"/>
      <c r="F2" s="19"/>
      <c r="G2" s="19"/>
      <c r="H2" s="19"/>
      <c r="I2" s="19"/>
      <c r="J2" s="19"/>
      <c r="K2" s="19"/>
      <c r="L2" s="19"/>
      <c r="M2" s="19"/>
      <c r="N2" s="21" t="s">
        <v>0</v>
      </c>
      <c r="O2" s="21" t="s">
        <v>1</v>
      </c>
      <c r="P2" s="21" t="s">
        <v>2</v>
      </c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</row>
    <row r="3" spans="1:35" ht="20.25" customHeight="1">
      <c r="A3" s="19"/>
      <c r="B3" s="19"/>
      <c r="C3" s="19"/>
      <c r="D3" s="55">
        <v>1</v>
      </c>
      <c r="E3" s="53"/>
      <c r="F3" s="19">
        <v>2</v>
      </c>
      <c r="G3" s="19">
        <v>3</v>
      </c>
      <c r="H3" s="19">
        <v>4</v>
      </c>
      <c r="I3" s="19">
        <v>5</v>
      </c>
      <c r="J3" s="19">
        <v>6</v>
      </c>
      <c r="K3" s="19">
        <v>7</v>
      </c>
      <c r="L3" s="19">
        <v>8</v>
      </c>
      <c r="M3" s="19">
        <v>9</v>
      </c>
      <c r="N3" s="22" t="s">
        <v>3</v>
      </c>
      <c r="O3" s="19" t="s">
        <v>4</v>
      </c>
      <c r="P3" s="19" t="s">
        <v>5</v>
      </c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</row>
    <row r="4" spans="1:35" ht="31.5" customHeight="1">
      <c r="A4" s="54" t="s">
        <v>23</v>
      </c>
      <c r="B4" s="54" t="s">
        <v>6</v>
      </c>
      <c r="C4" s="54" t="s">
        <v>7</v>
      </c>
      <c r="D4" s="54" t="s">
        <v>8</v>
      </c>
      <c r="E4" s="53"/>
      <c r="F4" s="22"/>
      <c r="G4" s="54" t="s">
        <v>9</v>
      </c>
      <c r="H4" s="54" t="s">
        <v>10</v>
      </c>
      <c r="I4" s="54" t="s">
        <v>10</v>
      </c>
      <c r="J4" s="54" t="s">
        <v>11</v>
      </c>
      <c r="K4" s="54" t="s">
        <v>12</v>
      </c>
      <c r="L4" s="59" t="s">
        <v>13</v>
      </c>
      <c r="M4" s="54" t="s">
        <v>14</v>
      </c>
      <c r="N4" s="54" t="s">
        <v>15</v>
      </c>
      <c r="O4" s="54" t="s">
        <v>16</v>
      </c>
      <c r="P4" s="54" t="s">
        <v>17</v>
      </c>
      <c r="Q4" s="2"/>
      <c r="R4" s="2"/>
      <c r="S4" s="2"/>
      <c r="T4" s="2"/>
      <c r="U4" s="2"/>
      <c r="V4" s="2"/>
      <c r="W4" s="2"/>
      <c r="X4" s="2"/>
      <c r="Y4" s="2"/>
      <c r="Z4" s="2"/>
      <c r="AA4" s="2"/>
      <c r="AB4" s="2"/>
      <c r="AC4" s="2"/>
      <c r="AD4" s="2"/>
      <c r="AE4" s="2"/>
      <c r="AF4" s="2"/>
      <c r="AG4" s="2"/>
      <c r="AH4" s="2"/>
      <c r="AI4" s="2"/>
    </row>
    <row r="5" spans="1:35" ht="78" customHeight="1">
      <c r="A5" s="53"/>
      <c r="B5" s="53"/>
      <c r="C5" s="53"/>
      <c r="D5" s="22" t="s">
        <v>18</v>
      </c>
      <c r="E5" s="22" t="s">
        <v>19</v>
      </c>
      <c r="F5" s="22" t="s">
        <v>20</v>
      </c>
      <c r="G5" s="53"/>
      <c r="H5" s="53"/>
      <c r="I5" s="53"/>
      <c r="J5" s="53"/>
      <c r="K5" s="53"/>
      <c r="L5" s="53"/>
      <c r="M5" s="53"/>
      <c r="N5" s="54"/>
      <c r="O5" s="53"/>
      <c r="P5" s="5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</row>
    <row r="6" spans="1:35" ht="24.95" customHeight="1" thickBot="1">
      <c r="A6" s="52" t="s">
        <v>21</v>
      </c>
      <c r="B6" s="53"/>
      <c r="C6" s="53"/>
      <c r="D6" s="19">
        <v>58</v>
      </c>
      <c r="E6" s="19">
        <v>24</v>
      </c>
      <c r="F6" s="19">
        <f>SUM(D6:E6)</f>
        <v>82</v>
      </c>
      <c r="G6" s="26">
        <f t="shared" ref="G6:G44" si="0">ROUNDUP(F6*100/$F$6,0)</f>
        <v>100</v>
      </c>
      <c r="H6" s="19">
        <v>5</v>
      </c>
      <c r="I6" s="19">
        <v>15</v>
      </c>
      <c r="J6" s="19">
        <v>20</v>
      </c>
      <c r="K6" s="19">
        <v>20</v>
      </c>
      <c r="L6" s="19">
        <f>MAX(J6:K6)</f>
        <v>20</v>
      </c>
      <c r="M6" s="19">
        <v>5</v>
      </c>
      <c r="N6" s="19">
        <v>20</v>
      </c>
      <c r="O6" s="19">
        <v>10</v>
      </c>
      <c r="P6" s="19">
        <v>20</v>
      </c>
      <c r="Q6" s="23">
        <f>N6+O6</f>
        <v>30</v>
      </c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</row>
    <row r="7" spans="1:35" ht="24.95" customHeight="1" thickBot="1">
      <c r="A7" s="60">
        <v>78</v>
      </c>
      <c r="B7" s="61" t="s">
        <v>26</v>
      </c>
      <c r="C7" s="62" t="s">
        <v>27</v>
      </c>
      <c r="D7" s="40">
        <v>44</v>
      </c>
      <c r="E7" s="71">
        <v>12</v>
      </c>
      <c r="F7" s="42">
        <f t="shared" ref="F7:F44" si="1">SUM(D7:E7)</f>
        <v>56</v>
      </c>
      <c r="G7" s="43">
        <f t="shared" si="0"/>
        <v>69</v>
      </c>
      <c r="H7" s="42" t="str">
        <f>IF(G7&gt;=75,"5",IF(G7&gt;=60,"4",IF(G7&gt;=50,"3",IF(G7&gt;=40,"2","1"))))</f>
        <v>4</v>
      </c>
      <c r="I7" s="42">
        <f t="shared" ref="I7:I44" si="2">H7*3</f>
        <v>12</v>
      </c>
      <c r="J7" s="38">
        <v>19</v>
      </c>
      <c r="K7" s="47">
        <v>0</v>
      </c>
      <c r="L7" s="44">
        <f>MAX(J7:K7)</f>
        <v>19</v>
      </c>
      <c r="M7" s="42" t="str">
        <f>IF(G7&gt;=50,"5",IF(G7&gt;=30,"4","3"))</f>
        <v>5</v>
      </c>
      <c r="N7" s="45">
        <f t="shared" ref="N7:N44" si="3">L7</f>
        <v>19</v>
      </c>
      <c r="O7" s="45">
        <f t="shared" ref="O7:O44" si="4">H7+M7</f>
        <v>9</v>
      </c>
      <c r="P7" s="45">
        <f t="shared" ref="P7:P44" si="5">I7+M7</f>
        <v>17</v>
      </c>
      <c r="Q7" s="23">
        <f t="shared" ref="Q7:Q44" si="6">N7+O7</f>
        <v>28</v>
      </c>
    </row>
    <row r="8" spans="1:35" ht="24.95" customHeight="1" thickBot="1">
      <c r="A8" s="63">
        <v>79</v>
      </c>
      <c r="B8" s="64" t="s">
        <v>28</v>
      </c>
      <c r="C8" s="65" t="s">
        <v>29</v>
      </c>
      <c r="D8" s="41">
        <v>56</v>
      </c>
      <c r="E8" s="72">
        <v>20</v>
      </c>
      <c r="F8" s="42">
        <f t="shared" si="1"/>
        <v>76</v>
      </c>
      <c r="G8" s="43">
        <f t="shared" si="0"/>
        <v>93</v>
      </c>
      <c r="H8" s="42" t="str">
        <f t="shared" ref="H8:H44" si="7">IF(G8&gt;=75,"5",IF(G8&gt;=60,"4",IF(G8&gt;=50,"3",IF(G8&gt;=40,"2","1"))))</f>
        <v>5</v>
      </c>
      <c r="I8" s="42">
        <f t="shared" si="2"/>
        <v>15</v>
      </c>
      <c r="J8" s="37">
        <v>20</v>
      </c>
      <c r="K8" s="50">
        <v>0</v>
      </c>
      <c r="L8" s="44">
        <f t="shared" ref="L8:L44" si="8">MAX(J8:K8)</f>
        <v>20</v>
      </c>
      <c r="M8" s="42" t="str">
        <f t="shared" ref="M8:M44" si="9">IF(G8&gt;=50,"5",IF(G8&gt;=30,"4","3"))</f>
        <v>5</v>
      </c>
      <c r="N8" s="45">
        <f t="shared" si="3"/>
        <v>20</v>
      </c>
      <c r="O8" s="45">
        <f t="shared" si="4"/>
        <v>10</v>
      </c>
      <c r="P8" s="45">
        <f t="shared" si="5"/>
        <v>20</v>
      </c>
      <c r="Q8" s="23">
        <f t="shared" si="6"/>
        <v>30</v>
      </c>
    </row>
    <row r="9" spans="1:35" ht="24.95" customHeight="1" thickBot="1">
      <c r="A9" s="63">
        <v>80</v>
      </c>
      <c r="B9" s="64" t="s">
        <v>30</v>
      </c>
      <c r="C9" s="65" t="s">
        <v>31</v>
      </c>
      <c r="D9" s="41">
        <v>25</v>
      </c>
      <c r="E9" s="72">
        <v>10</v>
      </c>
      <c r="F9" s="42">
        <f t="shared" si="1"/>
        <v>35</v>
      </c>
      <c r="G9" s="43">
        <f t="shared" si="0"/>
        <v>43</v>
      </c>
      <c r="H9" s="42" t="str">
        <f t="shared" si="7"/>
        <v>2</v>
      </c>
      <c r="I9" s="42">
        <f t="shared" si="2"/>
        <v>6</v>
      </c>
      <c r="J9" s="37">
        <v>17</v>
      </c>
      <c r="K9" s="50">
        <v>0</v>
      </c>
      <c r="L9" s="44">
        <f t="shared" si="8"/>
        <v>17</v>
      </c>
      <c r="M9" s="42" t="str">
        <f t="shared" si="9"/>
        <v>4</v>
      </c>
      <c r="N9" s="45">
        <f t="shared" si="3"/>
        <v>17</v>
      </c>
      <c r="O9" s="45">
        <f t="shared" si="4"/>
        <v>6</v>
      </c>
      <c r="P9" s="45">
        <f t="shared" si="5"/>
        <v>10</v>
      </c>
      <c r="Q9" s="23">
        <f t="shared" si="6"/>
        <v>23</v>
      </c>
    </row>
    <row r="10" spans="1:35" ht="24.95" customHeight="1" thickBot="1">
      <c r="A10" s="63">
        <v>81</v>
      </c>
      <c r="B10" s="64" t="s">
        <v>32</v>
      </c>
      <c r="C10" s="65" t="s">
        <v>33</v>
      </c>
      <c r="D10" s="41">
        <v>30</v>
      </c>
      <c r="E10" s="72">
        <v>22</v>
      </c>
      <c r="F10" s="42">
        <f t="shared" si="1"/>
        <v>52</v>
      </c>
      <c r="G10" s="43">
        <f t="shared" si="0"/>
        <v>64</v>
      </c>
      <c r="H10" s="42" t="str">
        <f t="shared" si="7"/>
        <v>4</v>
      </c>
      <c r="I10" s="42">
        <f t="shared" si="2"/>
        <v>12</v>
      </c>
      <c r="J10" s="36">
        <v>17</v>
      </c>
      <c r="K10" s="50">
        <v>0</v>
      </c>
      <c r="L10" s="44">
        <f t="shared" si="8"/>
        <v>17</v>
      </c>
      <c r="M10" s="42" t="str">
        <f t="shared" si="9"/>
        <v>5</v>
      </c>
      <c r="N10" s="45">
        <f t="shared" si="3"/>
        <v>17</v>
      </c>
      <c r="O10" s="45">
        <f t="shared" si="4"/>
        <v>9</v>
      </c>
      <c r="P10" s="45">
        <f t="shared" si="5"/>
        <v>17</v>
      </c>
      <c r="Q10" s="23">
        <f t="shared" si="6"/>
        <v>26</v>
      </c>
    </row>
    <row r="11" spans="1:35" ht="24.95" customHeight="1" thickBot="1">
      <c r="A11" s="63">
        <v>82</v>
      </c>
      <c r="B11" s="64" t="s">
        <v>34</v>
      </c>
      <c r="C11" s="65" t="s">
        <v>35</v>
      </c>
      <c r="D11" s="41">
        <v>54</v>
      </c>
      <c r="E11" s="72">
        <v>20</v>
      </c>
      <c r="F11" s="42">
        <f t="shared" si="1"/>
        <v>74</v>
      </c>
      <c r="G11" s="43">
        <f t="shared" si="0"/>
        <v>91</v>
      </c>
      <c r="H11" s="42" t="str">
        <f t="shared" si="7"/>
        <v>5</v>
      </c>
      <c r="I11" s="42">
        <f t="shared" si="2"/>
        <v>15</v>
      </c>
      <c r="J11" s="36">
        <v>19</v>
      </c>
      <c r="K11" s="50">
        <v>0</v>
      </c>
      <c r="L11" s="44">
        <f t="shared" si="8"/>
        <v>19</v>
      </c>
      <c r="M11" s="42" t="str">
        <f t="shared" si="9"/>
        <v>5</v>
      </c>
      <c r="N11" s="45">
        <f t="shared" si="3"/>
        <v>19</v>
      </c>
      <c r="O11" s="45">
        <f t="shared" si="4"/>
        <v>10</v>
      </c>
      <c r="P11" s="45">
        <f t="shared" si="5"/>
        <v>20</v>
      </c>
      <c r="Q11" s="23">
        <f t="shared" si="6"/>
        <v>29</v>
      </c>
    </row>
    <row r="12" spans="1:35" ht="24.95" customHeight="1" thickBot="1">
      <c r="A12" s="63">
        <v>83</v>
      </c>
      <c r="B12" s="64" t="s">
        <v>36</v>
      </c>
      <c r="C12" s="65" t="s">
        <v>37</v>
      </c>
      <c r="D12" s="41">
        <v>31</v>
      </c>
      <c r="E12" s="72">
        <v>18</v>
      </c>
      <c r="F12" s="42">
        <f t="shared" si="1"/>
        <v>49</v>
      </c>
      <c r="G12" s="43">
        <f t="shared" si="0"/>
        <v>60</v>
      </c>
      <c r="H12" s="42" t="str">
        <f t="shared" si="7"/>
        <v>4</v>
      </c>
      <c r="I12" s="42">
        <f t="shared" si="2"/>
        <v>12</v>
      </c>
      <c r="J12" s="37">
        <v>19</v>
      </c>
      <c r="K12" s="50">
        <v>0</v>
      </c>
      <c r="L12" s="44">
        <f t="shared" si="8"/>
        <v>19</v>
      </c>
      <c r="M12" s="42" t="str">
        <f t="shared" si="9"/>
        <v>5</v>
      </c>
      <c r="N12" s="45">
        <f t="shared" si="3"/>
        <v>19</v>
      </c>
      <c r="O12" s="45">
        <f t="shared" si="4"/>
        <v>9</v>
      </c>
      <c r="P12" s="45">
        <f t="shared" si="5"/>
        <v>17</v>
      </c>
      <c r="Q12" s="23">
        <f t="shared" si="6"/>
        <v>28</v>
      </c>
    </row>
    <row r="13" spans="1:35" ht="24.95" customHeight="1" thickBot="1">
      <c r="A13" s="63">
        <v>84</v>
      </c>
      <c r="B13" s="64" t="s">
        <v>38</v>
      </c>
      <c r="C13" s="65" t="s">
        <v>39</v>
      </c>
      <c r="D13" s="41">
        <v>44</v>
      </c>
      <c r="E13" s="72">
        <v>18</v>
      </c>
      <c r="F13" s="42">
        <f t="shared" si="1"/>
        <v>62</v>
      </c>
      <c r="G13" s="43">
        <f t="shared" si="0"/>
        <v>76</v>
      </c>
      <c r="H13" s="42" t="str">
        <f t="shared" si="7"/>
        <v>5</v>
      </c>
      <c r="I13" s="42">
        <f t="shared" si="2"/>
        <v>15</v>
      </c>
      <c r="J13" s="37">
        <v>19</v>
      </c>
      <c r="K13" s="50">
        <v>0</v>
      </c>
      <c r="L13" s="44">
        <f t="shared" si="8"/>
        <v>19</v>
      </c>
      <c r="M13" s="42" t="str">
        <f t="shared" si="9"/>
        <v>5</v>
      </c>
      <c r="N13" s="45">
        <f t="shared" si="3"/>
        <v>19</v>
      </c>
      <c r="O13" s="45">
        <f t="shared" si="4"/>
        <v>10</v>
      </c>
      <c r="P13" s="45">
        <f t="shared" si="5"/>
        <v>20</v>
      </c>
      <c r="Q13" s="23">
        <f t="shared" si="6"/>
        <v>29</v>
      </c>
    </row>
    <row r="14" spans="1:35" ht="24.95" customHeight="1" thickBot="1">
      <c r="A14" s="63">
        <v>85</v>
      </c>
      <c r="B14" s="64" t="s">
        <v>40</v>
      </c>
      <c r="C14" s="65" t="s">
        <v>41</v>
      </c>
      <c r="D14" s="41">
        <v>37</v>
      </c>
      <c r="E14" s="72">
        <v>12</v>
      </c>
      <c r="F14" s="42">
        <f t="shared" si="1"/>
        <v>49</v>
      </c>
      <c r="G14" s="43">
        <f t="shared" si="0"/>
        <v>60</v>
      </c>
      <c r="H14" s="42" t="str">
        <f t="shared" si="7"/>
        <v>4</v>
      </c>
      <c r="I14" s="42">
        <f t="shared" si="2"/>
        <v>12</v>
      </c>
      <c r="J14" s="37">
        <v>20</v>
      </c>
      <c r="K14" s="50">
        <v>0</v>
      </c>
      <c r="L14" s="44">
        <f t="shared" si="8"/>
        <v>20</v>
      </c>
      <c r="M14" s="42" t="str">
        <f t="shared" si="9"/>
        <v>5</v>
      </c>
      <c r="N14" s="45">
        <f t="shared" si="3"/>
        <v>20</v>
      </c>
      <c r="O14" s="45">
        <f t="shared" si="4"/>
        <v>9</v>
      </c>
      <c r="P14" s="45">
        <f t="shared" si="5"/>
        <v>17</v>
      </c>
      <c r="Q14" s="23">
        <f t="shared" si="6"/>
        <v>29</v>
      </c>
    </row>
    <row r="15" spans="1:35" ht="24.95" customHeight="1" thickBot="1">
      <c r="A15" s="63">
        <v>86</v>
      </c>
      <c r="B15" s="64" t="s">
        <v>42</v>
      </c>
      <c r="C15" s="65" t="s">
        <v>43</v>
      </c>
      <c r="D15" s="41">
        <v>53</v>
      </c>
      <c r="E15" s="72">
        <v>22</v>
      </c>
      <c r="F15" s="42">
        <f t="shared" si="1"/>
        <v>75</v>
      </c>
      <c r="G15" s="43">
        <f t="shared" si="0"/>
        <v>92</v>
      </c>
      <c r="H15" s="42" t="str">
        <f t="shared" si="7"/>
        <v>5</v>
      </c>
      <c r="I15" s="42">
        <f t="shared" si="2"/>
        <v>15</v>
      </c>
      <c r="J15" s="37">
        <v>20</v>
      </c>
      <c r="K15" s="50">
        <v>0</v>
      </c>
      <c r="L15" s="44">
        <f t="shared" si="8"/>
        <v>20</v>
      </c>
      <c r="M15" s="42" t="str">
        <f t="shared" si="9"/>
        <v>5</v>
      </c>
      <c r="N15" s="45">
        <f t="shared" si="3"/>
        <v>20</v>
      </c>
      <c r="O15" s="45">
        <f t="shared" si="4"/>
        <v>10</v>
      </c>
      <c r="P15" s="45">
        <f t="shared" si="5"/>
        <v>20</v>
      </c>
      <c r="Q15" s="23">
        <f t="shared" si="6"/>
        <v>30</v>
      </c>
    </row>
    <row r="16" spans="1:35" ht="24.95" customHeight="1" thickBot="1">
      <c r="A16" s="63">
        <v>87</v>
      </c>
      <c r="B16" s="64" t="s">
        <v>44</v>
      </c>
      <c r="C16" s="65" t="s">
        <v>45</v>
      </c>
      <c r="D16" s="41">
        <v>30</v>
      </c>
      <c r="E16" s="72">
        <v>16</v>
      </c>
      <c r="F16" s="42">
        <f t="shared" si="1"/>
        <v>46</v>
      </c>
      <c r="G16" s="43">
        <f t="shared" si="0"/>
        <v>57</v>
      </c>
      <c r="H16" s="42" t="str">
        <f t="shared" si="7"/>
        <v>3</v>
      </c>
      <c r="I16" s="42">
        <f t="shared" si="2"/>
        <v>9</v>
      </c>
      <c r="J16" s="39">
        <v>0</v>
      </c>
      <c r="K16" s="50">
        <v>18</v>
      </c>
      <c r="L16" s="44">
        <f t="shared" si="8"/>
        <v>18</v>
      </c>
      <c r="M16" s="42" t="str">
        <f t="shared" si="9"/>
        <v>5</v>
      </c>
      <c r="N16" s="45">
        <f t="shared" si="3"/>
        <v>18</v>
      </c>
      <c r="O16" s="45">
        <f t="shared" si="4"/>
        <v>8</v>
      </c>
      <c r="P16" s="45">
        <f t="shared" si="5"/>
        <v>14</v>
      </c>
      <c r="Q16" s="23">
        <f t="shared" si="6"/>
        <v>26</v>
      </c>
    </row>
    <row r="17" spans="1:17" ht="24.95" customHeight="1" thickBot="1">
      <c r="A17" s="63">
        <v>88</v>
      </c>
      <c r="B17" s="64" t="s">
        <v>46</v>
      </c>
      <c r="C17" s="65" t="s">
        <v>47</v>
      </c>
      <c r="D17" s="41">
        <v>39</v>
      </c>
      <c r="E17" s="72">
        <v>12</v>
      </c>
      <c r="F17" s="42">
        <f t="shared" si="1"/>
        <v>51</v>
      </c>
      <c r="G17" s="43">
        <f t="shared" si="0"/>
        <v>63</v>
      </c>
      <c r="H17" s="42" t="str">
        <f t="shared" si="7"/>
        <v>4</v>
      </c>
      <c r="I17" s="42">
        <f t="shared" si="2"/>
        <v>12</v>
      </c>
      <c r="J17" s="39">
        <v>0</v>
      </c>
      <c r="K17" s="50">
        <v>18</v>
      </c>
      <c r="L17" s="44">
        <f t="shared" si="8"/>
        <v>18</v>
      </c>
      <c r="M17" s="42" t="str">
        <f t="shared" si="9"/>
        <v>5</v>
      </c>
      <c r="N17" s="45">
        <f t="shared" si="3"/>
        <v>18</v>
      </c>
      <c r="O17" s="45">
        <f t="shared" si="4"/>
        <v>9</v>
      </c>
      <c r="P17" s="45">
        <f t="shared" si="5"/>
        <v>17</v>
      </c>
      <c r="Q17" s="23">
        <f t="shared" si="6"/>
        <v>27</v>
      </c>
    </row>
    <row r="18" spans="1:17" ht="24.95" customHeight="1" thickBot="1">
      <c r="A18" s="50">
        <v>89</v>
      </c>
      <c r="B18" s="66" t="s">
        <v>48</v>
      </c>
      <c r="C18" s="67" t="s">
        <v>47</v>
      </c>
      <c r="D18" s="73">
        <v>6</v>
      </c>
      <c r="E18" s="74">
        <v>0</v>
      </c>
      <c r="F18" s="42">
        <f t="shared" si="1"/>
        <v>6</v>
      </c>
      <c r="G18" s="43">
        <f t="shared" si="0"/>
        <v>8</v>
      </c>
      <c r="H18" s="42" t="str">
        <f t="shared" si="7"/>
        <v>1</v>
      </c>
      <c r="I18" s="42">
        <f t="shared" si="2"/>
        <v>3</v>
      </c>
      <c r="J18" s="39">
        <v>0</v>
      </c>
      <c r="K18" s="51">
        <v>0</v>
      </c>
      <c r="L18" s="44">
        <f t="shared" si="8"/>
        <v>0</v>
      </c>
      <c r="M18" s="42" t="str">
        <f t="shared" si="9"/>
        <v>3</v>
      </c>
      <c r="N18" s="45">
        <f t="shared" si="3"/>
        <v>0</v>
      </c>
      <c r="O18" s="45">
        <f t="shared" si="4"/>
        <v>4</v>
      </c>
      <c r="P18" s="45">
        <f t="shared" si="5"/>
        <v>6</v>
      </c>
      <c r="Q18" s="23">
        <f t="shared" si="6"/>
        <v>4</v>
      </c>
    </row>
    <row r="19" spans="1:17" ht="24.95" customHeight="1" thickBot="1">
      <c r="A19" s="63">
        <v>90</v>
      </c>
      <c r="B19" s="64" t="s">
        <v>49</v>
      </c>
      <c r="C19" s="65" t="s">
        <v>50</v>
      </c>
      <c r="D19" s="41">
        <v>55</v>
      </c>
      <c r="E19" s="72">
        <v>20</v>
      </c>
      <c r="F19" s="42">
        <f t="shared" si="1"/>
        <v>75</v>
      </c>
      <c r="G19" s="43">
        <f t="shared" si="0"/>
        <v>92</v>
      </c>
      <c r="H19" s="42" t="str">
        <f t="shared" si="7"/>
        <v>5</v>
      </c>
      <c r="I19" s="42">
        <f t="shared" si="2"/>
        <v>15</v>
      </c>
      <c r="J19" s="37">
        <v>20</v>
      </c>
      <c r="K19" s="50">
        <v>0</v>
      </c>
      <c r="L19" s="44">
        <f t="shared" si="8"/>
        <v>20</v>
      </c>
      <c r="M19" s="42" t="str">
        <f t="shared" si="9"/>
        <v>5</v>
      </c>
      <c r="N19" s="45">
        <f t="shared" si="3"/>
        <v>20</v>
      </c>
      <c r="O19" s="45">
        <f t="shared" si="4"/>
        <v>10</v>
      </c>
      <c r="P19" s="45">
        <f t="shared" si="5"/>
        <v>20</v>
      </c>
      <c r="Q19" s="23">
        <f t="shared" si="6"/>
        <v>30</v>
      </c>
    </row>
    <row r="20" spans="1:17" ht="24.95" customHeight="1" thickBot="1">
      <c r="A20" s="63">
        <v>91</v>
      </c>
      <c r="B20" s="64" t="s">
        <v>51</v>
      </c>
      <c r="C20" s="65" t="s">
        <v>52</v>
      </c>
      <c r="D20" s="41">
        <v>43</v>
      </c>
      <c r="E20" s="72">
        <v>18</v>
      </c>
      <c r="F20" s="42">
        <f t="shared" si="1"/>
        <v>61</v>
      </c>
      <c r="G20" s="43">
        <f t="shared" si="0"/>
        <v>75</v>
      </c>
      <c r="H20" s="42" t="str">
        <f t="shared" si="7"/>
        <v>5</v>
      </c>
      <c r="I20" s="42">
        <f t="shared" si="2"/>
        <v>15</v>
      </c>
      <c r="J20" s="39">
        <v>0</v>
      </c>
      <c r="K20" s="50">
        <v>20</v>
      </c>
      <c r="L20" s="44">
        <f t="shared" si="8"/>
        <v>20</v>
      </c>
      <c r="M20" s="42" t="str">
        <f t="shared" si="9"/>
        <v>5</v>
      </c>
      <c r="N20" s="45">
        <f t="shared" si="3"/>
        <v>20</v>
      </c>
      <c r="O20" s="45">
        <f t="shared" si="4"/>
        <v>10</v>
      </c>
      <c r="P20" s="45">
        <f t="shared" si="5"/>
        <v>20</v>
      </c>
      <c r="Q20" s="23">
        <f t="shared" si="6"/>
        <v>30</v>
      </c>
    </row>
    <row r="21" spans="1:17" ht="24.95" customHeight="1" thickBot="1">
      <c r="A21" s="63">
        <v>92</v>
      </c>
      <c r="B21" s="64" t="s">
        <v>53</v>
      </c>
      <c r="C21" s="65" t="s">
        <v>54</v>
      </c>
      <c r="D21" s="41">
        <v>45</v>
      </c>
      <c r="E21" s="72">
        <v>20</v>
      </c>
      <c r="F21" s="42">
        <f t="shared" si="1"/>
        <v>65</v>
      </c>
      <c r="G21" s="43">
        <f t="shared" si="0"/>
        <v>80</v>
      </c>
      <c r="H21" s="42" t="str">
        <f t="shared" si="7"/>
        <v>5</v>
      </c>
      <c r="I21" s="42">
        <f t="shared" si="2"/>
        <v>15</v>
      </c>
      <c r="J21" s="37">
        <v>20</v>
      </c>
      <c r="K21" s="50">
        <v>0</v>
      </c>
      <c r="L21" s="44">
        <f t="shared" si="8"/>
        <v>20</v>
      </c>
      <c r="M21" s="42" t="str">
        <f t="shared" si="9"/>
        <v>5</v>
      </c>
      <c r="N21" s="45">
        <f t="shared" si="3"/>
        <v>20</v>
      </c>
      <c r="O21" s="45">
        <f t="shared" si="4"/>
        <v>10</v>
      </c>
      <c r="P21" s="45">
        <f t="shared" si="5"/>
        <v>20</v>
      </c>
      <c r="Q21" s="23">
        <f t="shared" si="6"/>
        <v>30</v>
      </c>
    </row>
    <row r="22" spans="1:17" ht="24.95" customHeight="1" thickBot="1">
      <c r="A22" s="63">
        <v>93</v>
      </c>
      <c r="B22" s="64" t="s">
        <v>55</v>
      </c>
      <c r="C22" s="65" t="s">
        <v>56</v>
      </c>
      <c r="D22" s="41">
        <v>45</v>
      </c>
      <c r="E22" s="72">
        <v>22</v>
      </c>
      <c r="F22" s="42">
        <f t="shared" si="1"/>
        <v>67</v>
      </c>
      <c r="G22" s="43">
        <f t="shared" si="0"/>
        <v>82</v>
      </c>
      <c r="H22" s="42" t="str">
        <f t="shared" si="7"/>
        <v>5</v>
      </c>
      <c r="I22" s="42">
        <f t="shared" si="2"/>
        <v>15</v>
      </c>
      <c r="J22" s="37">
        <v>20</v>
      </c>
      <c r="K22" s="50">
        <v>0</v>
      </c>
      <c r="L22" s="44">
        <f t="shared" si="8"/>
        <v>20</v>
      </c>
      <c r="M22" s="42" t="str">
        <f t="shared" si="9"/>
        <v>5</v>
      </c>
      <c r="N22" s="45">
        <f t="shared" si="3"/>
        <v>20</v>
      </c>
      <c r="O22" s="45">
        <f t="shared" si="4"/>
        <v>10</v>
      </c>
      <c r="P22" s="45">
        <f t="shared" si="5"/>
        <v>20</v>
      </c>
      <c r="Q22" s="23">
        <f t="shared" si="6"/>
        <v>30</v>
      </c>
    </row>
    <row r="23" spans="1:17" ht="24.95" customHeight="1" thickBot="1">
      <c r="A23" s="63">
        <v>94</v>
      </c>
      <c r="B23" s="64" t="s">
        <v>57</v>
      </c>
      <c r="C23" s="65" t="s">
        <v>58</v>
      </c>
      <c r="D23" s="41">
        <v>45</v>
      </c>
      <c r="E23" s="72">
        <v>20</v>
      </c>
      <c r="F23" s="42">
        <f t="shared" si="1"/>
        <v>65</v>
      </c>
      <c r="G23" s="43">
        <f t="shared" si="0"/>
        <v>80</v>
      </c>
      <c r="H23" s="42" t="str">
        <f t="shared" si="7"/>
        <v>5</v>
      </c>
      <c r="I23" s="42">
        <f t="shared" si="2"/>
        <v>15</v>
      </c>
      <c r="J23" s="37">
        <v>20</v>
      </c>
      <c r="K23" s="50">
        <v>0</v>
      </c>
      <c r="L23" s="44">
        <f t="shared" si="8"/>
        <v>20</v>
      </c>
      <c r="M23" s="42" t="str">
        <f t="shared" si="9"/>
        <v>5</v>
      </c>
      <c r="N23" s="45">
        <f t="shared" si="3"/>
        <v>20</v>
      </c>
      <c r="O23" s="45">
        <f t="shared" si="4"/>
        <v>10</v>
      </c>
      <c r="P23" s="45">
        <f t="shared" si="5"/>
        <v>20</v>
      </c>
      <c r="Q23" s="23">
        <f t="shared" si="6"/>
        <v>30</v>
      </c>
    </row>
    <row r="24" spans="1:17" ht="24.95" customHeight="1" thickBot="1">
      <c r="A24" s="63">
        <v>95</v>
      </c>
      <c r="B24" s="64" t="s">
        <v>59</v>
      </c>
      <c r="C24" s="65" t="s">
        <v>60</v>
      </c>
      <c r="D24" s="41">
        <v>27</v>
      </c>
      <c r="E24" s="72">
        <v>16</v>
      </c>
      <c r="F24" s="42">
        <f t="shared" si="1"/>
        <v>43</v>
      </c>
      <c r="G24" s="43">
        <f t="shared" si="0"/>
        <v>53</v>
      </c>
      <c r="H24" s="42" t="str">
        <f t="shared" si="7"/>
        <v>3</v>
      </c>
      <c r="I24" s="42">
        <f t="shared" si="2"/>
        <v>9</v>
      </c>
      <c r="J24" s="39">
        <v>0</v>
      </c>
      <c r="K24" s="50">
        <v>20</v>
      </c>
      <c r="L24" s="44">
        <f t="shared" si="8"/>
        <v>20</v>
      </c>
      <c r="M24" s="42" t="str">
        <f t="shared" si="9"/>
        <v>5</v>
      </c>
      <c r="N24" s="45">
        <f t="shared" si="3"/>
        <v>20</v>
      </c>
      <c r="O24" s="45">
        <f t="shared" si="4"/>
        <v>8</v>
      </c>
      <c r="P24" s="45">
        <f t="shared" si="5"/>
        <v>14</v>
      </c>
      <c r="Q24" s="23">
        <f t="shared" si="6"/>
        <v>28</v>
      </c>
    </row>
    <row r="25" spans="1:17" ht="24.95" customHeight="1" thickBot="1">
      <c r="A25" s="63">
        <v>96</v>
      </c>
      <c r="B25" s="64" t="s">
        <v>61</v>
      </c>
      <c r="C25" s="65" t="s">
        <v>62</v>
      </c>
      <c r="D25" s="41">
        <v>30</v>
      </c>
      <c r="E25" s="72">
        <v>14</v>
      </c>
      <c r="F25" s="42">
        <f t="shared" si="1"/>
        <v>44</v>
      </c>
      <c r="G25" s="43">
        <f t="shared" si="0"/>
        <v>54</v>
      </c>
      <c r="H25" s="42" t="str">
        <f t="shared" si="7"/>
        <v>3</v>
      </c>
      <c r="I25" s="42">
        <f t="shared" si="2"/>
        <v>9</v>
      </c>
      <c r="J25" s="70">
        <v>17</v>
      </c>
      <c r="K25" s="50">
        <v>0</v>
      </c>
      <c r="L25" s="44">
        <f t="shared" si="8"/>
        <v>17</v>
      </c>
      <c r="M25" s="42" t="str">
        <f t="shared" si="9"/>
        <v>5</v>
      </c>
      <c r="N25" s="45">
        <f t="shared" si="3"/>
        <v>17</v>
      </c>
      <c r="O25" s="45">
        <f t="shared" si="4"/>
        <v>8</v>
      </c>
      <c r="P25" s="45">
        <f t="shared" si="5"/>
        <v>14</v>
      </c>
      <c r="Q25" s="23">
        <f t="shared" si="6"/>
        <v>25</v>
      </c>
    </row>
    <row r="26" spans="1:17" ht="24.95" customHeight="1" thickBot="1">
      <c r="A26" s="68">
        <v>97</v>
      </c>
      <c r="B26" s="64" t="s">
        <v>63</v>
      </c>
      <c r="C26" s="65" t="s">
        <v>64</v>
      </c>
      <c r="D26" s="41">
        <v>33</v>
      </c>
      <c r="E26" s="72">
        <v>20</v>
      </c>
      <c r="F26" s="42">
        <f t="shared" si="1"/>
        <v>53</v>
      </c>
      <c r="G26" s="43">
        <f t="shared" si="0"/>
        <v>65</v>
      </c>
      <c r="H26" s="42" t="str">
        <f t="shared" si="7"/>
        <v>4</v>
      </c>
      <c r="I26" s="42">
        <f t="shared" si="2"/>
        <v>12</v>
      </c>
      <c r="J26" s="37">
        <v>19</v>
      </c>
      <c r="K26" s="50">
        <v>0</v>
      </c>
      <c r="L26" s="44">
        <f t="shared" si="8"/>
        <v>19</v>
      </c>
      <c r="M26" s="42" t="str">
        <f t="shared" si="9"/>
        <v>5</v>
      </c>
      <c r="N26" s="45">
        <f t="shared" si="3"/>
        <v>19</v>
      </c>
      <c r="O26" s="45">
        <f t="shared" si="4"/>
        <v>9</v>
      </c>
      <c r="P26" s="45">
        <f t="shared" si="5"/>
        <v>17</v>
      </c>
      <c r="Q26" s="23">
        <f t="shared" si="6"/>
        <v>28</v>
      </c>
    </row>
    <row r="27" spans="1:17" ht="24.95" customHeight="1" thickBot="1">
      <c r="A27" s="63">
        <v>98</v>
      </c>
      <c r="B27" s="64" t="s">
        <v>65</v>
      </c>
      <c r="C27" s="65" t="s">
        <v>66</v>
      </c>
      <c r="D27" s="41">
        <v>32</v>
      </c>
      <c r="E27" s="72">
        <v>14</v>
      </c>
      <c r="F27" s="42">
        <f t="shared" si="1"/>
        <v>46</v>
      </c>
      <c r="G27" s="43">
        <f t="shared" si="0"/>
        <v>57</v>
      </c>
      <c r="H27" s="42" t="str">
        <f t="shared" si="7"/>
        <v>3</v>
      </c>
      <c r="I27" s="42">
        <f t="shared" si="2"/>
        <v>9</v>
      </c>
      <c r="J27" s="39">
        <v>0</v>
      </c>
      <c r="K27" s="50">
        <v>20</v>
      </c>
      <c r="L27" s="44">
        <f t="shared" si="8"/>
        <v>20</v>
      </c>
      <c r="M27" s="42" t="str">
        <f t="shared" si="9"/>
        <v>5</v>
      </c>
      <c r="N27" s="45">
        <f t="shared" si="3"/>
        <v>20</v>
      </c>
      <c r="O27" s="45">
        <f t="shared" si="4"/>
        <v>8</v>
      </c>
      <c r="P27" s="45">
        <f t="shared" si="5"/>
        <v>14</v>
      </c>
      <c r="Q27" s="23">
        <f t="shared" si="6"/>
        <v>28</v>
      </c>
    </row>
    <row r="28" spans="1:17" ht="24.95" customHeight="1" thickBot="1">
      <c r="A28" s="63">
        <v>99</v>
      </c>
      <c r="B28" s="64" t="s">
        <v>67</v>
      </c>
      <c r="C28" s="65" t="s">
        <v>68</v>
      </c>
      <c r="D28" s="41">
        <v>34</v>
      </c>
      <c r="E28" s="72">
        <v>16</v>
      </c>
      <c r="F28" s="42">
        <f t="shared" si="1"/>
        <v>50</v>
      </c>
      <c r="G28" s="43">
        <f t="shared" si="0"/>
        <v>61</v>
      </c>
      <c r="H28" s="42" t="str">
        <f t="shared" si="7"/>
        <v>4</v>
      </c>
      <c r="I28" s="42">
        <f t="shared" si="2"/>
        <v>12</v>
      </c>
      <c r="J28" s="39">
        <v>0</v>
      </c>
      <c r="K28" s="50">
        <v>20</v>
      </c>
      <c r="L28" s="44">
        <f t="shared" si="8"/>
        <v>20</v>
      </c>
      <c r="M28" s="42" t="str">
        <f t="shared" si="9"/>
        <v>5</v>
      </c>
      <c r="N28" s="45">
        <f t="shared" si="3"/>
        <v>20</v>
      </c>
      <c r="O28" s="45">
        <f t="shared" si="4"/>
        <v>9</v>
      </c>
      <c r="P28" s="45">
        <f t="shared" si="5"/>
        <v>17</v>
      </c>
      <c r="Q28" s="23">
        <f t="shared" si="6"/>
        <v>29</v>
      </c>
    </row>
    <row r="29" spans="1:17" ht="24.95" customHeight="1" thickBot="1">
      <c r="A29" s="63">
        <v>100</v>
      </c>
      <c r="B29" s="64" t="s">
        <v>69</v>
      </c>
      <c r="C29" s="65" t="s">
        <v>70</v>
      </c>
      <c r="D29" s="41">
        <v>39</v>
      </c>
      <c r="E29" s="72">
        <v>14</v>
      </c>
      <c r="F29" s="42">
        <f t="shared" si="1"/>
        <v>53</v>
      </c>
      <c r="G29" s="43">
        <f t="shared" si="0"/>
        <v>65</v>
      </c>
      <c r="H29" s="42" t="str">
        <f t="shared" si="7"/>
        <v>4</v>
      </c>
      <c r="I29" s="42">
        <f t="shared" si="2"/>
        <v>12</v>
      </c>
      <c r="J29" s="36">
        <v>20</v>
      </c>
      <c r="K29" s="50">
        <v>0</v>
      </c>
      <c r="L29" s="44">
        <f t="shared" si="8"/>
        <v>20</v>
      </c>
      <c r="M29" s="42" t="str">
        <f t="shared" si="9"/>
        <v>5</v>
      </c>
      <c r="N29" s="45">
        <f t="shared" si="3"/>
        <v>20</v>
      </c>
      <c r="O29" s="45">
        <f t="shared" si="4"/>
        <v>9</v>
      </c>
      <c r="P29" s="45">
        <f t="shared" si="5"/>
        <v>17</v>
      </c>
      <c r="Q29" s="23">
        <f t="shared" si="6"/>
        <v>29</v>
      </c>
    </row>
    <row r="30" spans="1:17" ht="24.95" customHeight="1" thickBot="1">
      <c r="A30" s="63">
        <v>101</v>
      </c>
      <c r="B30" s="64" t="s">
        <v>71</v>
      </c>
      <c r="C30" s="65" t="s">
        <v>72</v>
      </c>
      <c r="D30" s="41">
        <v>25</v>
      </c>
      <c r="E30" s="72">
        <v>14</v>
      </c>
      <c r="F30" s="42">
        <f t="shared" si="1"/>
        <v>39</v>
      </c>
      <c r="G30" s="43">
        <f t="shared" si="0"/>
        <v>48</v>
      </c>
      <c r="H30" s="42" t="str">
        <f t="shared" si="7"/>
        <v>2</v>
      </c>
      <c r="I30" s="42">
        <f t="shared" si="2"/>
        <v>6</v>
      </c>
      <c r="J30" s="39">
        <v>0</v>
      </c>
      <c r="K30" s="50">
        <v>20</v>
      </c>
      <c r="L30" s="44">
        <f t="shared" si="8"/>
        <v>20</v>
      </c>
      <c r="M30" s="42" t="str">
        <f t="shared" si="9"/>
        <v>4</v>
      </c>
      <c r="N30" s="45">
        <f t="shared" si="3"/>
        <v>20</v>
      </c>
      <c r="O30" s="45">
        <f t="shared" si="4"/>
        <v>6</v>
      </c>
      <c r="P30" s="45">
        <f t="shared" si="5"/>
        <v>10</v>
      </c>
      <c r="Q30" s="23">
        <f t="shared" si="6"/>
        <v>26</v>
      </c>
    </row>
    <row r="31" spans="1:17" ht="24.95" customHeight="1" thickBot="1">
      <c r="A31" s="63">
        <v>102</v>
      </c>
      <c r="B31" s="64" t="s">
        <v>73</v>
      </c>
      <c r="C31" s="65" t="s">
        <v>74</v>
      </c>
      <c r="D31" s="41">
        <v>43</v>
      </c>
      <c r="E31" s="72">
        <v>16</v>
      </c>
      <c r="F31" s="42">
        <f t="shared" si="1"/>
        <v>59</v>
      </c>
      <c r="G31" s="43">
        <f t="shared" si="0"/>
        <v>72</v>
      </c>
      <c r="H31" s="42" t="str">
        <f t="shared" si="7"/>
        <v>4</v>
      </c>
      <c r="I31" s="42">
        <f t="shared" si="2"/>
        <v>12</v>
      </c>
      <c r="J31" s="36">
        <v>20</v>
      </c>
      <c r="K31" s="50">
        <v>0</v>
      </c>
      <c r="L31" s="44">
        <f t="shared" si="8"/>
        <v>20</v>
      </c>
      <c r="M31" s="42" t="str">
        <f t="shared" si="9"/>
        <v>5</v>
      </c>
      <c r="N31" s="45">
        <f t="shared" si="3"/>
        <v>20</v>
      </c>
      <c r="O31" s="45">
        <f t="shared" si="4"/>
        <v>9</v>
      </c>
      <c r="P31" s="45">
        <f t="shared" si="5"/>
        <v>17</v>
      </c>
      <c r="Q31" s="23">
        <f t="shared" si="6"/>
        <v>29</v>
      </c>
    </row>
    <row r="32" spans="1:17" ht="24.95" customHeight="1" thickBot="1">
      <c r="A32" s="63">
        <v>103</v>
      </c>
      <c r="B32" s="64" t="s">
        <v>75</v>
      </c>
      <c r="C32" s="65" t="s">
        <v>76</v>
      </c>
      <c r="D32" s="41">
        <v>42</v>
      </c>
      <c r="E32" s="72">
        <v>12</v>
      </c>
      <c r="F32" s="42">
        <f t="shared" si="1"/>
        <v>54</v>
      </c>
      <c r="G32" s="43">
        <f t="shared" si="0"/>
        <v>66</v>
      </c>
      <c r="H32" s="42" t="str">
        <f t="shared" si="7"/>
        <v>4</v>
      </c>
      <c r="I32" s="42">
        <f t="shared" si="2"/>
        <v>12</v>
      </c>
      <c r="J32" s="39">
        <v>0</v>
      </c>
      <c r="K32" s="50">
        <v>20</v>
      </c>
      <c r="L32" s="44">
        <f t="shared" si="8"/>
        <v>20</v>
      </c>
      <c r="M32" s="42" t="str">
        <f t="shared" si="9"/>
        <v>5</v>
      </c>
      <c r="N32" s="45">
        <f t="shared" si="3"/>
        <v>20</v>
      </c>
      <c r="O32" s="45">
        <f t="shared" si="4"/>
        <v>9</v>
      </c>
      <c r="P32" s="45">
        <f t="shared" si="5"/>
        <v>17</v>
      </c>
      <c r="Q32" s="23">
        <f t="shared" si="6"/>
        <v>29</v>
      </c>
    </row>
    <row r="33" spans="1:35" ht="24.95" customHeight="1" thickBot="1">
      <c r="A33" s="63">
        <v>104</v>
      </c>
      <c r="B33" s="64" t="s">
        <v>77</v>
      </c>
      <c r="C33" s="65" t="s">
        <v>78</v>
      </c>
      <c r="D33" s="41">
        <v>42</v>
      </c>
      <c r="E33" s="72">
        <v>24</v>
      </c>
      <c r="F33" s="42">
        <f t="shared" si="1"/>
        <v>66</v>
      </c>
      <c r="G33" s="43">
        <f t="shared" si="0"/>
        <v>81</v>
      </c>
      <c r="H33" s="42" t="str">
        <f t="shared" si="7"/>
        <v>5</v>
      </c>
      <c r="I33" s="42">
        <f t="shared" si="2"/>
        <v>15</v>
      </c>
      <c r="J33" s="36">
        <v>20</v>
      </c>
      <c r="K33" s="50">
        <v>0</v>
      </c>
      <c r="L33" s="44">
        <f t="shared" si="8"/>
        <v>20</v>
      </c>
      <c r="M33" s="42" t="str">
        <f t="shared" si="9"/>
        <v>5</v>
      </c>
      <c r="N33" s="45">
        <f t="shared" si="3"/>
        <v>20</v>
      </c>
      <c r="O33" s="45">
        <f t="shared" si="4"/>
        <v>10</v>
      </c>
      <c r="P33" s="45">
        <f t="shared" si="5"/>
        <v>20</v>
      </c>
      <c r="Q33" s="23">
        <f t="shared" si="6"/>
        <v>30</v>
      </c>
    </row>
    <row r="34" spans="1:35" ht="24.95" customHeight="1" thickBot="1">
      <c r="A34" s="63">
        <v>105</v>
      </c>
      <c r="B34" s="64" t="s">
        <v>79</v>
      </c>
      <c r="C34" s="65" t="s">
        <v>80</v>
      </c>
      <c r="D34" s="41">
        <v>56</v>
      </c>
      <c r="E34" s="72">
        <v>18</v>
      </c>
      <c r="F34" s="42">
        <f t="shared" si="1"/>
        <v>74</v>
      </c>
      <c r="G34" s="43">
        <f t="shared" si="0"/>
        <v>91</v>
      </c>
      <c r="H34" s="42" t="str">
        <f t="shared" si="7"/>
        <v>5</v>
      </c>
      <c r="I34" s="42">
        <f t="shared" si="2"/>
        <v>15</v>
      </c>
      <c r="J34" s="37">
        <v>19</v>
      </c>
      <c r="K34" s="50">
        <v>0</v>
      </c>
      <c r="L34" s="44">
        <f t="shared" si="8"/>
        <v>19</v>
      </c>
      <c r="M34" s="42" t="str">
        <f t="shared" si="9"/>
        <v>5</v>
      </c>
      <c r="N34" s="45">
        <f t="shared" si="3"/>
        <v>19</v>
      </c>
      <c r="O34" s="45">
        <f t="shared" si="4"/>
        <v>10</v>
      </c>
      <c r="P34" s="45">
        <f t="shared" si="5"/>
        <v>20</v>
      </c>
      <c r="Q34" s="23">
        <f t="shared" si="6"/>
        <v>29</v>
      </c>
    </row>
    <row r="35" spans="1:35" ht="24.95" customHeight="1" thickBot="1">
      <c r="A35" s="63">
        <v>106</v>
      </c>
      <c r="B35" s="64" t="s">
        <v>81</v>
      </c>
      <c r="C35" s="65" t="s">
        <v>82</v>
      </c>
      <c r="D35" s="41">
        <v>36</v>
      </c>
      <c r="E35" s="72">
        <v>16</v>
      </c>
      <c r="F35" s="42">
        <f t="shared" si="1"/>
        <v>52</v>
      </c>
      <c r="G35" s="43">
        <f t="shared" si="0"/>
        <v>64</v>
      </c>
      <c r="H35" s="42" t="str">
        <f t="shared" si="7"/>
        <v>4</v>
      </c>
      <c r="I35" s="42">
        <f t="shared" si="2"/>
        <v>12</v>
      </c>
      <c r="J35" s="36">
        <v>17</v>
      </c>
      <c r="K35" s="50">
        <v>0</v>
      </c>
      <c r="L35" s="44">
        <f t="shared" si="8"/>
        <v>17</v>
      </c>
      <c r="M35" s="42" t="str">
        <f t="shared" si="9"/>
        <v>5</v>
      </c>
      <c r="N35" s="45">
        <f t="shared" si="3"/>
        <v>17</v>
      </c>
      <c r="O35" s="45">
        <f t="shared" si="4"/>
        <v>9</v>
      </c>
      <c r="P35" s="45">
        <f t="shared" si="5"/>
        <v>17</v>
      </c>
      <c r="Q35" s="23">
        <f t="shared" si="6"/>
        <v>26</v>
      </c>
    </row>
    <row r="36" spans="1:35" ht="24.95" customHeight="1" thickBot="1">
      <c r="A36" s="63">
        <v>107</v>
      </c>
      <c r="B36" s="64" t="s">
        <v>83</v>
      </c>
      <c r="C36" s="65" t="s">
        <v>84</v>
      </c>
      <c r="D36" s="41">
        <v>46</v>
      </c>
      <c r="E36" s="72">
        <v>18</v>
      </c>
      <c r="F36" s="42">
        <f t="shared" si="1"/>
        <v>64</v>
      </c>
      <c r="G36" s="43">
        <f t="shared" si="0"/>
        <v>79</v>
      </c>
      <c r="H36" s="42" t="str">
        <f t="shared" si="7"/>
        <v>5</v>
      </c>
      <c r="I36" s="42">
        <f t="shared" si="2"/>
        <v>15</v>
      </c>
      <c r="J36" s="36">
        <v>19</v>
      </c>
      <c r="K36" s="50">
        <v>0</v>
      </c>
      <c r="L36" s="44">
        <f t="shared" si="8"/>
        <v>19</v>
      </c>
      <c r="M36" s="42" t="str">
        <f t="shared" si="9"/>
        <v>5</v>
      </c>
      <c r="N36" s="45">
        <f t="shared" si="3"/>
        <v>19</v>
      </c>
      <c r="O36" s="45">
        <f t="shared" si="4"/>
        <v>10</v>
      </c>
      <c r="P36" s="45">
        <f t="shared" si="5"/>
        <v>20</v>
      </c>
      <c r="Q36" s="23">
        <f t="shared" si="6"/>
        <v>29</v>
      </c>
    </row>
    <row r="37" spans="1:35" ht="24.95" customHeight="1" thickBot="1">
      <c r="A37" s="68">
        <v>108</v>
      </c>
      <c r="B37" s="64" t="s">
        <v>85</v>
      </c>
      <c r="C37" s="65" t="s">
        <v>86</v>
      </c>
      <c r="D37" s="41">
        <v>49</v>
      </c>
      <c r="E37" s="72">
        <v>18</v>
      </c>
      <c r="F37" s="42">
        <f t="shared" si="1"/>
        <v>67</v>
      </c>
      <c r="G37" s="43">
        <f t="shared" si="0"/>
        <v>82</v>
      </c>
      <c r="H37" s="42" t="str">
        <f t="shared" si="7"/>
        <v>5</v>
      </c>
      <c r="I37" s="42">
        <f t="shared" si="2"/>
        <v>15</v>
      </c>
      <c r="J37" s="36">
        <v>20</v>
      </c>
      <c r="K37" s="50">
        <v>0</v>
      </c>
      <c r="L37" s="44">
        <f t="shared" si="8"/>
        <v>20</v>
      </c>
      <c r="M37" s="42" t="str">
        <f t="shared" si="9"/>
        <v>5</v>
      </c>
      <c r="N37" s="45">
        <f t="shared" si="3"/>
        <v>20</v>
      </c>
      <c r="O37" s="45">
        <f t="shared" si="4"/>
        <v>10</v>
      </c>
      <c r="P37" s="45">
        <f t="shared" si="5"/>
        <v>20</v>
      </c>
      <c r="Q37" s="23">
        <f t="shared" si="6"/>
        <v>30</v>
      </c>
    </row>
    <row r="38" spans="1:35" ht="24.95" customHeight="1" thickBot="1">
      <c r="A38" s="63">
        <v>109</v>
      </c>
      <c r="B38" s="64" t="s">
        <v>87</v>
      </c>
      <c r="C38" s="65" t="s">
        <v>88</v>
      </c>
      <c r="D38" s="41">
        <v>50</v>
      </c>
      <c r="E38" s="72">
        <v>20</v>
      </c>
      <c r="F38" s="42">
        <f t="shared" si="1"/>
        <v>70</v>
      </c>
      <c r="G38" s="43">
        <f t="shared" si="0"/>
        <v>86</v>
      </c>
      <c r="H38" s="42" t="str">
        <f t="shared" si="7"/>
        <v>5</v>
      </c>
      <c r="I38" s="42">
        <f t="shared" si="2"/>
        <v>15</v>
      </c>
      <c r="J38" s="37">
        <v>20</v>
      </c>
      <c r="K38" s="50">
        <v>0</v>
      </c>
      <c r="L38" s="44">
        <f t="shared" si="8"/>
        <v>20</v>
      </c>
      <c r="M38" s="42" t="str">
        <f t="shared" si="9"/>
        <v>5</v>
      </c>
      <c r="N38" s="45">
        <f t="shared" si="3"/>
        <v>20</v>
      </c>
      <c r="O38" s="45">
        <f t="shared" si="4"/>
        <v>10</v>
      </c>
      <c r="P38" s="45">
        <f t="shared" si="5"/>
        <v>20</v>
      </c>
      <c r="Q38" s="23">
        <f t="shared" si="6"/>
        <v>30</v>
      </c>
    </row>
    <row r="39" spans="1:35" ht="24.95" customHeight="1" thickBot="1">
      <c r="A39" s="63">
        <v>110</v>
      </c>
      <c r="B39" s="64" t="s">
        <v>89</v>
      </c>
      <c r="C39" s="65" t="s">
        <v>90</v>
      </c>
      <c r="D39" s="41">
        <v>51</v>
      </c>
      <c r="E39" s="72">
        <v>20</v>
      </c>
      <c r="F39" s="42">
        <f t="shared" si="1"/>
        <v>71</v>
      </c>
      <c r="G39" s="43">
        <f t="shared" si="0"/>
        <v>87</v>
      </c>
      <c r="H39" s="42" t="str">
        <f t="shared" si="7"/>
        <v>5</v>
      </c>
      <c r="I39" s="42">
        <f t="shared" si="2"/>
        <v>15</v>
      </c>
      <c r="J39" s="37">
        <v>20</v>
      </c>
      <c r="K39" s="50">
        <v>0</v>
      </c>
      <c r="L39" s="44">
        <f t="shared" si="8"/>
        <v>20</v>
      </c>
      <c r="M39" s="42" t="str">
        <f t="shared" si="9"/>
        <v>5</v>
      </c>
      <c r="N39" s="45">
        <f t="shared" si="3"/>
        <v>20</v>
      </c>
      <c r="O39" s="45">
        <f t="shared" si="4"/>
        <v>10</v>
      </c>
      <c r="P39" s="45">
        <f t="shared" si="5"/>
        <v>20</v>
      </c>
      <c r="Q39" s="23">
        <f t="shared" si="6"/>
        <v>30</v>
      </c>
    </row>
    <row r="40" spans="1:35" ht="24.95" customHeight="1" thickBot="1">
      <c r="A40" s="63">
        <v>111</v>
      </c>
      <c r="B40" s="64" t="s">
        <v>91</v>
      </c>
      <c r="C40" s="65" t="s">
        <v>92</v>
      </c>
      <c r="D40" s="41">
        <v>33</v>
      </c>
      <c r="E40" s="72">
        <v>18</v>
      </c>
      <c r="F40" s="42">
        <f t="shared" si="1"/>
        <v>51</v>
      </c>
      <c r="G40" s="43">
        <f t="shared" si="0"/>
        <v>63</v>
      </c>
      <c r="H40" s="42" t="str">
        <f t="shared" si="7"/>
        <v>4</v>
      </c>
      <c r="I40" s="42">
        <f t="shared" si="2"/>
        <v>12</v>
      </c>
      <c r="J40" s="37">
        <v>12</v>
      </c>
      <c r="K40" s="50">
        <v>20</v>
      </c>
      <c r="L40" s="44">
        <f t="shared" si="8"/>
        <v>20</v>
      </c>
      <c r="M40" s="42" t="str">
        <f t="shared" si="9"/>
        <v>5</v>
      </c>
      <c r="N40" s="45">
        <f t="shared" si="3"/>
        <v>20</v>
      </c>
      <c r="O40" s="45">
        <f t="shared" si="4"/>
        <v>9</v>
      </c>
      <c r="P40" s="45">
        <f t="shared" si="5"/>
        <v>17</v>
      </c>
      <c r="Q40" s="23">
        <f t="shared" si="6"/>
        <v>29</v>
      </c>
    </row>
    <row r="41" spans="1:35" ht="24.95" customHeight="1" thickBot="1">
      <c r="A41" s="63">
        <v>112</v>
      </c>
      <c r="B41" s="64" t="s">
        <v>93</v>
      </c>
      <c r="C41" s="65" t="s">
        <v>94</v>
      </c>
      <c r="D41" s="41">
        <v>53</v>
      </c>
      <c r="E41" s="72">
        <v>20</v>
      </c>
      <c r="F41" s="42">
        <f t="shared" si="1"/>
        <v>73</v>
      </c>
      <c r="G41" s="43">
        <f t="shared" si="0"/>
        <v>90</v>
      </c>
      <c r="H41" s="42" t="str">
        <f t="shared" si="7"/>
        <v>5</v>
      </c>
      <c r="I41" s="42">
        <f t="shared" si="2"/>
        <v>15</v>
      </c>
      <c r="J41" s="36">
        <v>20</v>
      </c>
      <c r="K41" s="50">
        <v>0</v>
      </c>
      <c r="L41" s="44">
        <f t="shared" si="8"/>
        <v>20</v>
      </c>
      <c r="M41" s="42" t="str">
        <f t="shared" si="9"/>
        <v>5</v>
      </c>
      <c r="N41" s="45">
        <f t="shared" si="3"/>
        <v>20</v>
      </c>
      <c r="O41" s="45">
        <f t="shared" si="4"/>
        <v>10</v>
      </c>
      <c r="P41" s="45">
        <f t="shared" si="5"/>
        <v>20</v>
      </c>
      <c r="Q41" s="23">
        <f t="shared" si="6"/>
        <v>30</v>
      </c>
    </row>
    <row r="42" spans="1:35" ht="24.95" customHeight="1" thickBot="1">
      <c r="A42" s="63">
        <v>113</v>
      </c>
      <c r="B42" s="64" t="s">
        <v>95</v>
      </c>
      <c r="C42" s="65" t="s">
        <v>96</v>
      </c>
      <c r="D42" s="41">
        <v>37</v>
      </c>
      <c r="E42" s="72">
        <v>20</v>
      </c>
      <c r="F42" s="42">
        <f t="shared" si="1"/>
        <v>57</v>
      </c>
      <c r="G42" s="43">
        <f t="shared" si="0"/>
        <v>70</v>
      </c>
      <c r="H42" s="42" t="str">
        <f t="shared" si="7"/>
        <v>4</v>
      </c>
      <c r="I42" s="42">
        <f t="shared" si="2"/>
        <v>12</v>
      </c>
      <c r="J42" s="37">
        <v>20</v>
      </c>
      <c r="K42" s="50">
        <v>0</v>
      </c>
      <c r="L42" s="44">
        <f t="shared" si="8"/>
        <v>20</v>
      </c>
      <c r="M42" s="42" t="str">
        <f t="shared" si="9"/>
        <v>5</v>
      </c>
      <c r="N42" s="45">
        <f t="shared" si="3"/>
        <v>20</v>
      </c>
      <c r="O42" s="45">
        <f t="shared" si="4"/>
        <v>9</v>
      </c>
      <c r="P42" s="45">
        <f t="shared" si="5"/>
        <v>17</v>
      </c>
      <c r="Q42" s="23">
        <f t="shared" si="6"/>
        <v>29</v>
      </c>
    </row>
    <row r="43" spans="1:35" ht="24.95" customHeight="1" thickBot="1">
      <c r="A43" s="63">
        <v>114</v>
      </c>
      <c r="B43" s="64" t="s">
        <v>97</v>
      </c>
      <c r="C43" s="65" t="s">
        <v>98</v>
      </c>
      <c r="D43" s="41">
        <v>46</v>
      </c>
      <c r="E43" s="72">
        <v>18</v>
      </c>
      <c r="F43" s="42">
        <f t="shared" si="1"/>
        <v>64</v>
      </c>
      <c r="G43" s="43">
        <f t="shared" si="0"/>
        <v>79</v>
      </c>
      <c r="H43" s="42" t="str">
        <f t="shared" si="7"/>
        <v>5</v>
      </c>
      <c r="I43" s="42">
        <f t="shared" si="2"/>
        <v>15</v>
      </c>
      <c r="J43" s="37">
        <v>20</v>
      </c>
      <c r="K43" s="50">
        <v>0</v>
      </c>
      <c r="L43" s="44">
        <f t="shared" si="8"/>
        <v>20</v>
      </c>
      <c r="M43" s="42" t="str">
        <f t="shared" si="9"/>
        <v>5</v>
      </c>
      <c r="N43" s="45">
        <f t="shared" si="3"/>
        <v>20</v>
      </c>
      <c r="O43" s="45">
        <f t="shared" si="4"/>
        <v>10</v>
      </c>
      <c r="P43" s="45">
        <f t="shared" si="5"/>
        <v>20</v>
      </c>
      <c r="Q43" s="23">
        <f t="shared" si="6"/>
        <v>30</v>
      </c>
    </row>
    <row r="44" spans="1:35" ht="24.95" customHeight="1" thickBot="1">
      <c r="A44" s="63">
        <v>115</v>
      </c>
      <c r="B44" s="64" t="s">
        <v>99</v>
      </c>
      <c r="C44" s="65" t="s">
        <v>100</v>
      </c>
      <c r="D44" s="41">
        <v>37</v>
      </c>
      <c r="E44" s="72">
        <v>16</v>
      </c>
      <c r="F44" s="42">
        <f t="shared" si="1"/>
        <v>53</v>
      </c>
      <c r="G44" s="43">
        <f t="shared" si="0"/>
        <v>65</v>
      </c>
      <c r="H44" s="42" t="str">
        <f t="shared" si="7"/>
        <v>4</v>
      </c>
      <c r="I44" s="42">
        <f t="shared" si="2"/>
        <v>12</v>
      </c>
      <c r="J44" s="37">
        <v>16</v>
      </c>
      <c r="K44" s="50">
        <v>0</v>
      </c>
      <c r="L44" s="44">
        <f t="shared" si="8"/>
        <v>16</v>
      </c>
      <c r="M44" s="42" t="str">
        <f t="shared" si="9"/>
        <v>5</v>
      </c>
      <c r="N44" s="45">
        <f t="shared" si="3"/>
        <v>16</v>
      </c>
      <c r="O44" s="45">
        <f t="shared" si="4"/>
        <v>9</v>
      </c>
      <c r="P44" s="45">
        <f t="shared" si="5"/>
        <v>17</v>
      </c>
      <c r="Q44" s="23">
        <f t="shared" si="6"/>
        <v>25</v>
      </c>
    </row>
    <row r="45" spans="1:35" ht="24.95" customHeight="1">
      <c r="A45" s="27"/>
      <c r="B45" s="28"/>
      <c r="C45" s="29"/>
      <c r="D45" s="30"/>
      <c r="E45" s="28"/>
      <c r="F45" s="28"/>
      <c r="G45" s="28"/>
      <c r="H45" s="30"/>
      <c r="I45" s="28"/>
      <c r="J45" s="28"/>
      <c r="K45" s="30"/>
      <c r="L45" s="28"/>
      <c r="M45" s="28"/>
      <c r="N45" s="28"/>
      <c r="O45" s="28"/>
      <c r="P45" s="28"/>
      <c r="Q45" s="31"/>
      <c r="R45" s="31"/>
      <c r="S45" s="31"/>
      <c r="T45" s="31"/>
      <c r="U45" s="31"/>
      <c r="V45" s="31"/>
      <c r="W45" s="31"/>
      <c r="X45" s="31"/>
      <c r="Y45" s="31"/>
      <c r="Z45" s="31"/>
      <c r="AA45" s="31"/>
      <c r="AB45" s="31"/>
      <c r="AC45" s="31"/>
      <c r="AD45" s="31"/>
      <c r="AE45" s="31"/>
      <c r="AF45" s="31"/>
      <c r="AG45" s="31"/>
      <c r="AH45" s="31"/>
      <c r="AI45" s="31"/>
    </row>
    <row r="46" spans="1:35" ht="24.95" customHeight="1">
      <c r="A46" s="6" t="s">
        <v>22</v>
      </c>
      <c r="B46" s="33" t="s">
        <v>25</v>
      </c>
      <c r="C46" s="33"/>
      <c r="D46" s="17"/>
      <c r="E46" s="15"/>
      <c r="F46" s="15"/>
      <c r="G46" s="15"/>
      <c r="H46" s="17"/>
      <c r="I46" s="15"/>
      <c r="J46" s="15"/>
      <c r="K46" s="17"/>
      <c r="L46" s="15"/>
      <c r="M46" s="15"/>
      <c r="N46" s="56" t="s">
        <v>24</v>
      </c>
      <c r="O46" s="57"/>
      <c r="P46" s="58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/>
    </row>
    <row r="47" spans="1:35" ht="13.5" customHeight="1">
      <c r="A47" s="7"/>
      <c r="B47" s="7"/>
      <c r="C47" s="8"/>
      <c r="D47" s="9"/>
      <c r="E47" s="10"/>
      <c r="F47" s="7"/>
      <c r="G47" s="7"/>
      <c r="H47" s="7"/>
      <c r="I47" s="7"/>
      <c r="J47" s="7"/>
      <c r="K47" s="7"/>
      <c r="L47" s="7"/>
      <c r="M47" s="7"/>
      <c r="N47" s="11"/>
      <c r="O47" s="7"/>
      <c r="P47" s="7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AB47" s="5"/>
      <c r="AC47" s="5"/>
      <c r="AD47" s="5"/>
      <c r="AE47" s="5"/>
      <c r="AF47" s="5"/>
      <c r="AG47" s="5"/>
      <c r="AH47" s="5"/>
      <c r="AI47" s="5"/>
    </row>
    <row r="48" spans="1:35" ht="13.5" customHeight="1">
      <c r="A48" s="2"/>
      <c r="B48" s="2"/>
      <c r="C48" s="12"/>
      <c r="D48" s="13"/>
      <c r="E48" s="14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  <c r="AH48" s="5"/>
      <c r="AI48" s="5"/>
    </row>
    <row r="49" spans="1:35" ht="13.5" customHeight="1">
      <c r="A49" s="2"/>
      <c r="B49" s="2"/>
      <c r="C49" s="12"/>
      <c r="D49" s="13"/>
      <c r="E49" s="14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</row>
    <row r="50" spans="1:35" ht="13.5" customHeight="1">
      <c r="A50" s="2"/>
      <c r="B50" s="2"/>
      <c r="C50" s="12"/>
      <c r="D50" s="13"/>
      <c r="E50" s="14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/>
      <c r="AH50" s="5"/>
      <c r="AI50" s="5"/>
    </row>
    <row r="51" spans="1:35" ht="13.5" customHeight="1">
      <c r="A51" s="2"/>
      <c r="B51" s="2"/>
      <c r="C51" s="12"/>
      <c r="D51" s="13"/>
      <c r="E51" s="14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/>
      <c r="AI51" s="5"/>
    </row>
    <row r="52" spans="1:35" ht="13.5" customHeight="1">
      <c r="A52" s="2"/>
      <c r="B52" s="2"/>
      <c r="C52" s="12"/>
      <c r="D52" s="13"/>
      <c r="E52" s="14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/>
    </row>
    <row r="53" spans="1:35" ht="13.5" customHeight="1">
      <c r="A53" s="2"/>
      <c r="B53" s="2"/>
      <c r="C53" s="12"/>
      <c r="D53" s="13"/>
      <c r="E53" s="14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</row>
    <row r="54" spans="1:35" ht="13.5" customHeight="1">
      <c r="A54" s="2"/>
      <c r="B54" s="2"/>
      <c r="C54" s="12"/>
      <c r="D54" s="13"/>
      <c r="E54" s="14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  <c r="AB54" s="5"/>
      <c r="AC54" s="5"/>
      <c r="AD54" s="5"/>
      <c r="AE54" s="5"/>
      <c r="AF54" s="5"/>
      <c r="AG54" s="5"/>
      <c r="AH54" s="5"/>
      <c r="AI54" s="5"/>
    </row>
    <row r="55" spans="1:35" ht="13.5" customHeight="1">
      <c r="A55" s="2"/>
      <c r="B55" s="2"/>
      <c r="C55" s="12"/>
      <c r="D55" s="13"/>
      <c r="E55" s="14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5"/>
      <c r="R55" s="5"/>
      <c r="S55" s="5"/>
      <c r="T55" s="5"/>
      <c r="U55" s="5"/>
      <c r="V55" s="5"/>
      <c r="W55" s="5"/>
      <c r="X55" s="5"/>
      <c r="Y55" s="5"/>
      <c r="Z55" s="5"/>
      <c r="AA55" s="5"/>
      <c r="AB55" s="5"/>
      <c r="AC55" s="5"/>
      <c r="AD55" s="5"/>
      <c r="AE55" s="5"/>
      <c r="AF55" s="5"/>
      <c r="AG55" s="5"/>
      <c r="AH55" s="5"/>
      <c r="AI55" s="5"/>
    </row>
    <row r="56" spans="1:35" ht="13.5" customHeight="1">
      <c r="A56" s="2"/>
      <c r="B56" s="2"/>
      <c r="C56" s="12"/>
      <c r="D56" s="13"/>
      <c r="E56" s="14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  <c r="AB56" s="5"/>
      <c r="AC56" s="5"/>
      <c r="AD56" s="5"/>
      <c r="AE56" s="5"/>
      <c r="AF56" s="5"/>
      <c r="AG56" s="5"/>
      <c r="AH56" s="5"/>
      <c r="AI56" s="5"/>
    </row>
    <row r="57" spans="1:35" ht="13.5" customHeight="1">
      <c r="A57" s="2"/>
      <c r="B57" s="2"/>
      <c r="C57" s="12"/>
      <c r="D57" s="13"/>
      <c r="E57" s="14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/>
      <c r="AH57" s="5"/>
      <c r="AI57" s="5"/>
    </row>
    <row r="58" spans="1:35" ht="13.5" customHeight="1">
      <c r="A58" s="2"/>
      <c r="B58" s="2"/>
      <c r="C58" s="12"/>
      <c r="D58" s="13"/>
      <c r="E58" s="14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/>
      <c r="AD58" s="5"/>
      <c r="AE58" s="5"/>
      <c r="AF58" s="5"/>
      <c r="AG58" s="5"/>
      <c r="AH58" s="5"/>
      <c r="AI58" s="5"/>
    </row>
    <row r="59" spans="1:35" ht="13.5" customHeight="1">
      <c r="A59" s="2"/>
      <c r="B59" s="2"/>
      <c r="C59" s="12"/>
      <c r="D59" s="13"/>
      <c r="E59" s="14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5"/>
      <c r="R59" s="5"/>
      <c r="S59" s="5"/>
      <c r="T59" s="5"/>
      <c r="U59" s="5"/>
      <c r="V59" s="5"/>
      <c r="W59" s="5"/>
      <c r="X59" s="5"/>
      <c r="Y59" s="5"/>
      <c r="Z59" s="5"/>
      <c r="AA59" s="5"/>
      <c r="AB59" s="5"/>
      <c r="AC59" s="5"/>
      <c r="AD59" s="5"/>
      <c r="AE59" s="5"/>
      <c r="AF59" s="5"/>
      <c r="AG59" s="5"/>
      <c r="AH59" s="5"/>
      <c r="AI59" s="5"/>
    </row>
    <row r="60" spans="1:35" ht="13.5" customHeight="1">
      <c r="A60" s="2"/>
      <c r="B60" s="2"/>
      <c r="C60" s="12"/>
      <c r="D60" s="13"/>
      <c r="E60" s="14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  <c r="AB60" s="5"/>
      <c r="AC60" s="5"/>
      <c r="AD60" s="5"/>
      <c r="AE60" s="5"/>
      <c r="AF60" s="5"/>
      <c r="AG60" s="5"/>
      <c r="AH60" s="5"/>
      <c r="AI60" s="5"/>
    </row>
    <row r="61" spans="1:35" ht="13.5" customHeight="1">
      <c r="A61" s="2"/>
      <c r="B61" s="2"/>
      <c r="C61" s="12"/>
      <c r="D61" s="13"/>
      <c r="E61" s="14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/>
      <c r="AD61" s="5"/>
      <c r="AE61" s="5"/>
      <c r="AF61" s="5"/>
      <c r="AG61" s="5"/>
      <c r="AH61" s="5"/>
      <c r="AI61" s="5"/>
    </row>
    <row r="62" spans="1:35" ht="13.5" customHeight="1">
      <c r="A62" s="2"/>
      <c r="B62" s="2"/>
      <c r="C62" s="12"/>
      <c r="D62" s="13"/>
      <c r="E62" s="14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  <c r="AC62" s="5"/>
      <c r="AD62" s="5"/>
      <c r="AE62" s="5"/>
      <c r="AF62" s="5"/>
      <c r="AG62" s="5"/>
      <c r="AH62" s="5"/>
      <c r="AI62" s="5"/>
    </row>
    <row r="63" spans="1:35" ht="13.5" customHeight="1">
      <c r="A63" s="2"/>
      <c r="B63" s="2"/>
      <c r="C63" s="12"/>
      <c r="D63" s="13"/>
      <c r="E63" s="14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  <c r="AH63" s="5"/>
      <c r="AI63" s="5"/>
    </row>
    <row r="64" spans="1:35" ht="13.5" customHeight="1">
      <c r="A64" s="2"/>
      <c r="B64" s="2"/>
      <c r="C64" s="12"/>
      <c r="D64" s="13"/>
      <c r="E64" s="14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5"/>
      <c r="R64" s="5"/>
      <c r="S64" s="5"/>
      <c r="T64" s="5"/>
      <c r="U64" s="5"/>
      <c r="V64" s="5"/>
      <c r="W64" s="5"/>
      <c r="X64" s="5"/>
      <c r="Y64" s="5"/>
      <c r="Z64" s="5"/>
      <c r="AA64" s="5"/>
      <c r="AB64" s="5"/>
      <c r="AC64" s="5"/>
      <c r="AD64" s="5"/>
      <c r="AE64" s="5"/>
      <c r="AF64" s="5"/>
      <c r="AG64" s="5"/>
      <c r="AH64" s="5"/>
      <c r="AI64" s="5"/>
    </row>
    <row r="65" spans="1:35" ht="13.5" customHeight="1">
      <c r="A65" s="2"/>
      <c r="B65" s="2"/>
      <c r="C65" s="12"/>
      <c r="D65" s="13"/>
      <c r="E65" s="14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  <c r="AB65" s="5"/>
      <c r="AC65" s="5"/>
      <c r="AD65" s="5"/>
      <c r="AE65" s="5"/>
      <c r="AF65" s="5"/>
      <c r="AG65" s="5"/>
      <c r="AH65" s="5"/>
      <c r="AI65" s="5"/>
    </row>
  </sheetData>
  <autoFilter ref="N1:N44"/>
  <mergeCells count="18">
    <mergeCell ref="N46:P46"/>
    <mergeCell ref="P4:P5"/>
    <mergeCell ref="L4:L5"/>
    <mergeCell ref="J4:J5"/>
    <mergeCell ref="K4:K5"/>
    <mergeCell ref="A6:C6"/>
    <mergeCell ref="A1:P1"/>
    <mergeCell ref="N4:N5"/>
    <mergeCell ref="D3:E3"/>
    <mergeCell ref="D4:E4"/>
    <mergeCell ref="M4:M5"/>
    <mergeCell ref="A4:A5"/>
    <mergeCell ref="O4:O5"/>
    <mergeCell ref="B4:B5"/>
    <mergeCell ref="C4:C5"/>
    <mergeCell ref="H4:H5"/>
    <mergeCell ref="G4:G5"/>
    <mergeCell ref="I4:I5"/>
  </mergeCells>
  <printOptions horizontalCentered="1" verticalCentered="1"/>
  <pageMargins left="0.57999999999999996" right="0.78" top="0.27" bottom="0.27" header="0.24" footer="0"/>
  <pageSetup paperSize="9" scale="38" orientation="landscape" r:id="rId1"/>
  <rowBreaks count="1" manualBreakCount="1">
    <brk id="37" max="15" man="1"/>
  </rowBreaks>
  <drawing r:id="rId2"/>
</worksheet>
</file>

<file path=xl/worksheets/sheet2.xml><?xml version="1.0" encoding="utf-8"?>
<worksheet xmlns="http://schemas.openxmlformats.org/spreadsheetml/2006/main" xmlns:r="http://schemas.openxmlformats.org/officeDocument/2006/relationships">
  <sheetPr>
    <pageSetUpPr fitToPage="1"/>
  </sheetPr>
  <dimension ref="A1:AI65"/>
  <sheetViews>
    <sheetView tabSelected="1" view="pageBreakPreview" topLeftCell="A25" zoomScale="60" workbookViewId="0">
      <selection activeCell="P36" sqref="P36"/>
    </sheetView>
  </sheetViews>
  <sheetFormatPr defaultColWidth="14.42578125" defaultRowHeight="15" customHeight="1"/>
  <cols>
    <col min="1" max="1" width="20.140625" customWidth="1"/>
    <col min="2" max="2" width="22.7109375" customWidth="1"/>
    <col min="3" max="3" width="30.140625" customWidth="1"/>
    <col min="4" max="16" width="16.7109375" customWidth="1"/>
    <col min="17" max="35" width="11.140625" customWidth="1"/>
  </cols>
  <sheetData>
    <row r="1" spans="1:35" ht="100.5" customHeight="1">
      <c r="A1" s="52" t="s">
        <v>177</v>
      </c>
      <c r="B1" s="52"/>
      <c r="C1" s="52"/>
      <c r="D1" s="52"/>
      <c r="E1" s="52"/>
      <c r="F1" s="52"/>
      <c r="G1" s="52"/>
      <c r="H1" s="52"/>
      <c r="I1" s="52"/>
      <c r="J1" s="52"/>
      <c r="K1" s="52"/>
      <c r="L1" s="52"/>
      <c r="M1" s="52"/>
      <c r="N1" s="52"/>
      <c r="O1" s="52"/>
      <c r="P1" s="52"/>
    </row>
    <row r="2" spans="1:35" ht="42" customHeight="1">
      <c r="A2" s="25"/>
      <c r="B2" s="25"/>
      <c r="C2" s="20"/>
      <c r="D2" s="25"/>
      <c r="E2" s="25"/>
      <c r="F2" s="25"/>
      <c r="G2" s="25"/>
      <c r="H2" s="25"/>
      <c r="I2" s="25"/>
      <c r="J2" s="25"/>
      <c r="K2" s="25"/>
      <c r="L2" s="25"/>
      <c r="M2" s="25"/>
      <c r="N2" s="21" t="s">
        <v>0</v>
      </c>
      <c r="O2" s="21" t="s">
        <v>1</v>
      </c>
      <c r="P2" s="21" t="s">
        <v>2</v>
      </c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</row>
    <row r="3" spans="1:35" ht="20.25" customHeight="1">
      <c r="A3" s="25"/>
      <c r="B3" s="25"/>
      <c r="C3" s="25"/>
      <c r="D3" s="55">
        <v>1</v>
      </c>
      <c r="E3" s="53"/>
      <c r="F3" s="25">
        <v>2</v>
      </c>
      <c r="G3" s="25">
        <v>3</v>
      </c>
      <c r="H3" s="25">
        <v>4</v>
      </c>
      <c r="I3" s="25">
        <v>5</v>
      </c>
      <c r="J3" s="25">
        <v>6</v>
      </c>
      <c r="K3" s="25">
        <v>7</v>
      </c>
      <c r="L3" s="25">
        <v>8</v>
      </c>
      <c r="M3" s="25">
        <v>9</v>
      </c>
      <c r="N3" s="24" t="s">
        <v>3</v>
      </c>
      <c r="O3" s="25" t="s">
        <v>4</v>
      </c>
      <c r="P3" s="25" t="s">
        <v>5</v>
      </c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</row>
    <row r="4" spans="1:35" ht="31.5" customHeight="1">
      <c r="A4" s="54" t="s">
        <v>23</v>
      </c>
      <c r="B4" s="54" t="s">
        <v>6</v>
      </c>
      <c r="C4" s="54" t="s">
        <v>7</v>
      </c>
      <c r="D4" s="54" t="s">
        <v>8</v>
      </c>
      <c r="E4" s="53"/>
      <c r="F4" s="24"/>
      <c r="G4" s="54" t="s">
        <v>9</v>
      </c>
      <c r="H4" s="54" t="s">
        <v>10</v>
      </c>
      <c r="I4" s="54" t="s">
        <v>10</v>
      </c>
      <c r="J4" s="54" t="s">
        <v>11</v>
      </c>
      <c r="K4" s="54" t="s">
        <v>12</v>
      </c>
      <c r="L4" s="59" t="s">
        <v>13</v>
      </c>
      <c r="M4" s="54" t="s">
        <v>14</v>
      </c>
      <c r="N4" s="54" t="s">
        <v>15</v>
      </c>
      <c r="O4" s="54" t="s">
        <v>16</v>
      </c>
      <c r="P4" s="54" t="s">
        <v>17</v>
      </c>
      <c r="Q4" s="2"/>
      <c r="R4" s="2"/>
      <c r="S4" s="2"/>
      <c r="T4" s="2"/>
      <c r="U4" s="2"/>
      <c r="V4" s="2"/>
      <c r="W4" s="2"/>
      <c r="X4" s="2"/>
      <c r="Y4" s="2"/>
      <c r="Z4" s="2"/>
      <c r="AA4" s="2"/>
      <c r="AB4" s="2"/>
      <c r="AC4" s="2"/>
      <c r="AD4" s="2"/>
      <c r="AE4" s="2"/>
      <c r="AF4" s="2"/>
      <c r="AG4" s="2"/>
      <c r="AH4" s="2"/>
      <c r="AI4" s="2"/>
    </row>
    <row r="5" spans="1:35" ht="78" customHeight="1" thickBot="1">
      <c r="A5" s="53"/>
      <c r="B5" s="53"/>
      <c r="C5" s="53"/>
      <c r="D5" s="24" t="s">
        <v>18</v>
      </c>
      <c r="E5" s="24" t="s">
        <v>19</v>
      </c>
      <c r="F5" s="24" t="s">
        <v>20</v>
      </c>
      <c r="G5" s="53"/>
      <c r="H5" s="53"/>
      <c r="I5" s="53"/>
      <c r="J5" s="53"/>
      <c r="K5" s="53"/>
      <c r="L5" s="53"/>
      <c r="M5" s="53"/>
      <c r="N5" s="54"/>
      <c r="O5" s="53"/>
      <c r="P5" s="5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</row>
    <row r="6" spans="1:35" ht="24.95" customHeight="1" thickBot="1">
      <c r="A6" s="52" t="s">
        <v>21</v>
      </c>
      <c r="B6" s="53"/>
      <c r="C6" s="53"/>
      <c r="D6" s="25">
        <v>58</v>
      </c>
      <c r="E6" s="25">
        <v>26</v>
      </c>
      <c r="F6" s="25">
        <f>SUM(D6:E6)</f>
        <v>84</v>
      </c>
      <c r="G6" s="25">
        <f t="shared" ref="G6:G44" si="0">ROUNDUP(F6*100/$F$6,0)</f>
        <v>100</v>
      </c>
      <c r="H6" s="25">
        <v>5</v>
      </c>
      <c r="I6" s="25">
        <v>15</v>
      </c>
      <c r="J6" s="38">
        <v>20</v>
      </c>
      <c r="K6" s="25">
        <v>20</v>
      </c>
      <c r="L6" s="25">
        <f t="shared" ref="L6:L44" si="1">MAX(J6:K6)</f>
        <v>20</v>
      </c>
      <c r="M6" s="25">
        <v>5</v>
      </c>
      <c r="N6" s="25">
        <v>20</v>
      </c>
      <c r="O6" s="25">
        <v>10</v>
      </c>
      <c r="P6" s="25">
        <v>20</v>
      </c>
      <c r="Q6" s="23">
        <f>N6+O6</f>
        <v>30</v>
      </c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</row>
    <row r="7" spans="1:35" ht="24.95" customHeight="1" thickBot="1">
      <c r="A7" s="60">
        <v>116</v>
      </c>
      <c r="B7" s="61" t="s">
        <v>101</v>
      </c>
      <c r="C7" s="62" t="s">
        <v>102</v>
      </c>
      <c r="D7" s="40">
        <v>39</v>
      </c>
      <c r="E7" s="71">
        <v>18</v>
      </c>
      <c r="F7" s="32">
        <f t="shared" ref="F7:F44" si="2">SUM(D7:E7)</f>
        <v>57</v>
      </c>
      <c r="G7" s="46">
        <f t="shared" si="0"/>
        <v>68</v>
      </c>
      <c r="H7" s="34" t="str">
        <f>IF(G7&gt;=75,"5",IF(G7&gt;=60,"4",IF(G7&gt;=50,"3",IF(G7&gt;=40,"2","1"))))</f>
        <v>4</v>
      </c>
      <c r="I7" s="32">
        <f t="shared" ref="I7:I44" si="3">H7*3</f>
        <v>12</v>
      </c>
      <c r="J7" s="38">
        <v>19</v>
      </c>
      <c r="K7" s="47">
        <v>0</v>
      </c>
      <c r="L7" s="48">
        <f t="shared" si="1"/>
        <v>19</v>
      </c>
      <c r="M7" s="32" t="str">
        <f>IF(G7&gt;=50,"5",IF(G7&gt;=30,"4","3"))</f>
        <v>5</v>
      </c>
      <c r="N7" s="49">
        <f t="shared" ref="N7:N44" si="4">L7</f>
        <v>19</v>
      </c>
      <c r="O7" s="49">
        <f t="shared" ref="O7:O44" si="5">H7+M7</f>
        <v>9</v>
      </c>
      <c r="P7" s="49">
        <f t="shared" ref="P7:P44" si="6">I7+M7</f>
        <v>17</v>
      </c>
      <c r="Q7" s="23">
        <f t="shared" ref="Q7:Q44" si="7">N7+O7</f>
        <v>28</v>
      </c>
    </row>
    <row r="8" spans="1:35" ht="24.95" customHeight="1" thickBot="1">
      <c r="A8" s="63">
        <v>117</v>
      </c>
      <c r="B8" s="64" t="s">
        <v>103</v>
      </c>
      <c r="C8" s="65" t="s">
        <v>104</v>
      </c>
      <c r="D8" s="41">
        <v>33</v>
      </c>
      <c r="E8" s="72">
        <v>18</v>
      </c>
      <c r="F8" s="32">
        <f t="shared" si="2"/>
        <v>51</v>
      </c>
      <c r="G8" s="46">
        <f t="shared" si="0"/>
        <v>61</v>
      </c>
      <c r="H8" s="34" t="str">
        <f t="shared" ref="H8:H44" si="8">IF(G8&gt;=75,"5",IF(G8&gt;=60,"4",IF(G8&gt;=50,"3",IF(G8&gt;=40,"2","1"))))</f>
        <v>4</v>
      </c>
      <c r="I8" s="32">
        <f t="shared" si="3"/>
        <v>12</v>
      </c>
      <c r="J8" s="37">
        <v>19</v>
      </c>
      <c r="K8" s="50">
        <v>0</v>
      </c>
      <c r="L8" s="48">
        <f t="shared" si="1"/>
        <v>19</v>
      </c>
      <c r="M8" s="32" t="str">
        <f t="shared" ref="M8:M44" si="9">IF(G8&gt;=50,"5",IF(G8&gt;=30,"4","3"))</f>
        <v>5</v>
      </c>
      <c r="N8" s="49">
        <f t="shared" si="4"/>
        <v>19</v>
      </c>
      <c r="O8" s="49">
        <f t="shared" si="5"/>
        <v>9</v>
      </c>
      <c r="P8" s="49">
        <f t="shared" si="6"/>
        <v>17</v>
      </c>
      <c r="Q8" s="23">
        <f t="shared" si="7"/>
        <v>28</v>
      </c>
    </row>
    <row r="9" spans="1:35" ht="24.95" customHeight="1" thickBot="1">
      <c r="A9" s="63">
        <v>118</v>
      </c>
      <c r="B9" s="64" t="s">
        <v>105</v>
      </c>
      <c r="C9" s="65" t="s">
        <v>106</v>
      </c>
      <c r="D9" s="41">
        <v>32</v>
      </c>
      <c r="E9" s="72">
        <v>18</v>
      </c>
      <c r="F9" s="32">
        <f t="shared" si="2"/>
        <v>50</v>
      </c>
      <c r="G9" s="46">
        <f t="shared" si="0"/>
        <v>60</v>
      </c>
      <c r="H9" s="34" t="str">
        <f t="shared" si="8"/>
        <v>4</v>
      </c>
      <c r="I9" s="32">
        <f t="shared" si="3"/>
        <v>12</v>
      </c>
      <c r="J9" s="37">
        <v>16</v>
      </c>
      <c r="K9" s="50">
        <v>0</v>
      </c>
      <c r="L9" s="48">
        <f t="shared" si="1"/>
        <v>16</v>
      </c>
      <c r="M9" s="32" t="str">
        <f t="shared" si="9"/>
        <v>5</v>
      </c>
      <c r="N9" s="49">
        <f t="shared" si="4"/>
        <v>16</v>
      </c>
      <c r="O9" s="49">
        <f t="shared" si="5"/>
        <v>9</v>
      </c>
      <c r="P9" s="49">
        <f t="shared" si="6"/>
        <v>17</v>
      </c>
      <c r="Q9" s="23">
        <f t="shared" si="7"/>
        <v>25</v>
      </c>
    </row>
    <row r="10" spans="1:35" ht="24.95" customHeight="1" thickBot="1">
      <c r="A10" s="63">
        <v>119</v>
      </c>
      <c r="B10" s="64" t="s">
        <v>107</v>
      </c>
      <c r="C10" s="65" t="s">
        <v>108</v>
      </c>
      <c r="D10" s="41">
        <v>50</v>
      </c>
      <c r="E10" s="72">
        <v>20</v>
      </c>
      <c r="F10" s="32">
        <f t="shared" si="2"/>
        <v>70</v>
      </c>
      <c r="G10" s="46">
        <f t="shared" si="0"/>
        <v>84</v>
      </c>
      <c r="H10" s="34" t="str">
        <f t="shared" si="8"/>
        <v>5</v>
      </c>
      <c r="I10" s="32">
        <f t="shared" si="3"/>
        <v>15</v>
      </c>
      <c r="J10" s="36">
        <v>20</v>
      </c>
      <c r="K10" s="50">
        <v>0</v>
      </c>
      <c r="L10" s="48">
        <f t="shared" si="1"/>
        <v>20</v>
      </c>
      <c r="M10" s="32" t="str">
        <f t="shared" si="9"/>
        <v>5</v>
      </c>
      <c r="N10" s="49">
        <f t="shared" si="4"/>
        <v>20</v>
      </c>
      <c r="O10" s="49">
        <f t="shared" si="5"/>
        <v>10</v>
      </c>
      <c r="P10" s="49">
        <f t="shared" si="6"/>
        <v>20</v>
      </c>
      <c r="Q10" s="23">
        <f t="shared" si="7"/>
        <v>30</v>
      </c>
    </row>
    <row r="11" spans="1:35" ht="24.95" customHeight="1" thickBot="1">
      <c r="A11" s="63">
        <v>120</v>
      </c>
      <c r="B11" s="64" t="s">
        <v>109</v>
      </c>
      <c r="C11" s="65" t="s">
        <v>110</v>
      </c>
      <c r="D11" s="41">
        <v>52</v>
      </c>
      <c r="E11" s="72">
        <v>20</v>
      </c>
      <c r="F11" s="32">
        <f t="shared" si="2"/>
        <v>72</v>
      </c>
      <c r="G11" s="46">
        <f t="shared" si="0"/>
        <v>86</v>
      </c>
      <c r="H11" s="34" t="str">
        <f t="shared" si="8"/>
        <v>5</v>
      </c>
      <c r="I11" s="32">
        <f t="shared" si="3"/>
        <v>15</v>
      </c>
      <c r="J11" s="37">
        <v>20</v>
      </c>
      <c r="K11" s="50">
        <v>0</v>
      </c>
      <c r="L11" s="48">
        <f t="shared" si="1"/>
        <v>20</v>
      </c>
      <c r="M11" s="32" t="str">
        <f t="shared" si="9"/>
        <v>5</v>
      </c>
      <c r="N11" s="49">
        <f t="shared" si="4"/>
        <v>20</v>
      </c>
      <c r="O11" s="49">
        <f t="shared" si="5"/>
        <v>10</v>
      </c>
      <c r="P11" s="49">
        <f t="shared" si="6"/>
        <v>20</v>
      </c>
      <c r="Q11" s="23">
        <f t="shared" si="7"/>
        <v>30</v>
      </c>
    </row>
    <row r="12" spans="1:35" ht="24.95" customHeight="1" thickBot="1">
      <c r="A12" s="63">
        <v>121</v>
      </c>
      <c r="B12" s="64" t="s">
        <v>111</v>
      </c>
      <c r="C12" s="65" t="s">
        <v>112</v>
      </c>
      <c r="D12" s="41">
        <v>28</v>
      </c>
      <c r="E12" s="72">
        <v>20</v>
      </c>
      <c r="F12" s="32">
        <f t="shared" si="2"/>
        <v>48</v>
      </c>
      <c r="G12" s="46">
        <f t="shared" si="0"/>
        <v>58</v>
      </c>
      <c r="H12" s="34" t="str">
        <f t="shared" si="8"/>
        <v>3</v>
      </c>
      <c r="I12" s="32">
        <f t="shared" si="3"/>
        <v>9</v>
      </c>
      <c r="J12" s="36">
        <v>18</v>
      </c>
      <c r="K12" s="50">
        <v>0</v>
      </c>
      <c r="L12" s="48">
        <f t="shared" si="1"/>
        <v>18</v>
      </c>
      <c r="M12" s="32" t="str">
        <f t="shared" si="9"/>
        <v>5</v>
      </c>
      <c r="N12" s="49">
        <f t="shared" si="4"/>
        <v>18</v>
      </c>
      <c r="O12" s="49">
        <f t="shared" si="5"/>
        <v>8</v>
      </c>
      <c r="P12" s="49">
        <f t="shared" si="6"/>
        <v>14</v>
      </c>
      <c r="Q12" s="23">
        <f t="shared" si="7"/>
        <v>26</v>
      </c>
    </row>
    <row r="13" spans="1:35" ht="24.95" customHeight="1" thickBot="1">
      <c r="A13" s="63">
        <v>122</v>
      </c>
      <c r="B13" s="64" t="s">
        <v>113</v>
      </c>
      <c r="C13" s="65" t="s">
        <v>114</v>
      </c>
      <c r="D13" s="41">
        <v>36</v>
      </c>
      <c r="E13" s="72">
        <v>18</v>
      </c>
      <c r="F13" s="32">
        <f t="shared" si="2"/>
        <v>54</v>
      </c>
      <c r="G13" s="46">
        <f t="shared" si="0"/>
        <v>65</v>
      </c>
      <c r="H13" s="34" t="str">
        <f t="shared" si="8"/>
        <v>4</v>
      </c>
      <c r="I13" s="32">
        <f t="shared" si="3"/>
        <v>12</v>
      </c>
      <c r="J13" s="37">
        <v>18</v>
      </c>
      <c r="K13" s="50">
        <v>0</v>
      </c>
      <c r="L13" s="48">
        <f t="shared" si="1"/>
        <v>18</v>
      </c>
      <c r="M13" s="32" t="str">
        <f t="shared" si="9"/>
        <v>5</v>
      </c>
      <c r="N13" s="49">
        <f t="shared" si="4"/>
        <v>18</v>
      </c>
      <c r="O13" s="49">
        <f t="shared" si="5"/>
        <v>9</v>
      </c>
      <c r="P13" s="49">
        <f t="shared" si="6"/>
        <v>17</v>
      </c>
      <c r="Q13" s="23">
        <f t="shared" si="7"/>
        <v>27</v>
      </c>
    </row>
    <row r="14" spans="1:35" ht="24.95" customHeight="1" thickBot="1">
      <c r="A14" s="63">
        <v>123</v>
      </c>
      <c r="B14" s="64" t="s">
        <v>115</v>
      </c>
      <c r="C14" s="65" t="s">
        <v>116</v>
      </c>
      <c r="D14" s="41">
        <v>44</v>
      </c>
      <c r="E14" s="72">
        <v>20</v>
      </c>
      <c r="F14" s="32">
        <f t="shared" si="2"/>
        <v>64</v>
      </c>
      <c r="G14" s="46">
        <f t="shared" si="0"/>
        <v>77</v>
      </c>
      <c r="H14" s="34" t="str">
        <f t="shared" si="8"/>
        <v>5</v>
      </c>
      <c r="I14" s="32">
        <f t="shared" si="3"/>
        <v>15</v>
      </c>
      <c r="J14" s="37">
        <v>19</v>
      </c>
      <c r="K14" s="50">
        <v>0</v>
      </c>
      <c r="L14" s="48">
        <f t="shared" si="1"/>
        <v>19</v>
      </c>
      <c r="M14" s="32" t="str">
        <f t="shared" si="9"/>
        <v>5</v>
      </c>
      <c r="N14" s="49">
        <f t="shared" si="4"/>
        <v>19</v>
      </c>
      <c r="O14" s="49">
        <f t="shared" si="5"/>
        <v>10</v>
      </c>
      <c r="P14" s="49">
        <f t="shared" si="6"/>
        <v>20</v>
      </c>
      <c r="Q14" s="23">
        <f t="shared" si="7"/>
        <v>29</v>
      </c>
    </row>
    <row r="15" spans="1:35" ht="24.95" customHeight="1" thickBot="1">
      <c r="A15" s="63">
        <v>124</v>
      </c>
      <c r="B15" s="64" t="s">
        <v>117</v>
      </c>
      <c r="C15" s="65" t="s">
        <v>118</v>
      </c>
      <c r="D15" s="41">
        <v>36</v>
      </c>
      <c r="E15" s="72">
        <v>14</v>
      </c>
      <c r="F15" s="32">
        <f t="shared" si="2"/>
        <v>50</v>
      </c>
      <c r="G15" s="46">
        <f t="shared" si="0"/>
        <v>60</v>
      </c>
      <c r="H15" s="34" t="str">
        <f t="shared" si="8"/>
        <v>4</v>
      </c>
      <c r="I15" s="32">
        <f t="shared" si="3"/>
        <v>12</v>
      </c>
      <c r="J15" s="37">
        <v>19</v>
      </c>
      <c r="K15" s="50">
        <v>0</v>
      </c>
      <c r="L15" s="48">
        <f t="shared" si="1"/>
        <v>19</v>
      </c>
      <c r="M15" s="32" t="str">
        <f t="shared" si="9"/>
        <v>5</v>
      </c>
      <c r="N15" s="49">
        <f t="shared" si="4"/>
        <v>19</v>
      </c>
      <c r="O15" s="49">
        <f t="shared" si="5"/>
        <v>9</v>
      </c>
      <c r="P15" s="49">
        <f t="shared" si="6"/>
        <v>17</v>
      </c>
      <c r="Q15" s="23">
        <f t="shared" si="7"/>
        <v>28</v>
      </c>
    </row>
    <row r="16" spans="1:35" ht="24.95" customHeight="1" thickBot="1">
      <c r="A16" s="63">
        <v>125</v>
      </c>
      <c r="B16" s="64" t="s">
        <v>119</v>
      </c>
      <c r="C16" s="65" t="s">
        <v>120</v>
      </c>
      <c r="D16" s="41">
        <v>56</v>
      </c>
      <c r="E16" s="72">
        <v>26</v>
      </c>
      <c r="F16" s="32">
        <f t="shared" si="2"/>
        <v>82</v>
      </c>
      <c r="G16" s="46">
        <f t="shared" si="0"/>
        <v>98</v>
      </c>
      <c r="H16" s="34" t="str">
        <f t="shared" si="8"/>
        <v>5</v>
      </c>
      <c r="I16" s="32">
        <f t="shared" si="3"/>
        <v>15</v>
      </c>
      <c r="J16" s="37">
        <v>20</v>
      </c>
      <c r="K16" s="50">
        <v>0</v>
      </c>
      <c r="L16" s="48">
        <f t="shared" si="1"/>
        <v>20</v>
      </c>
      <c r="M16" s="32" t="str">
        <f t="shared" si="9"/>
        <v>5</v>
      </c>
      <c r="N16" s="49">
        <f t="shared" si="4"/>
        <v>20</v>
      </c>
      <c r="O16" s="49">
        <f t="shared" si="5"/>
        <v>10</v>
      </c>
      <c r="P16" s="49">
        <f t="shared" si="6"/>
        <v>20</v>
      </c>
      <c r="Q16" s="23">
        <f t="shared" si="7"/>
        <v>30</v>
      </c>
    </row>
    <row r="17" spans="1:17" ht="24.95" customHeight="1" thickBot="1">
      <c r="A17" s="63">
        <v>126</v>
      </c>
      <c r="B17" s="64" t="s">
        <v>121</v>
      </c>
      <c r="C17" s="65" t="s">
        <v>122</v>
      </c>
      <c r="D17" s="41">
        <v>41</v>
      </c>
      <c r="E17" s="72">
        <v>18</v>
      </c>
      <c r="F17" s="32">
        <f t="shared" si="2"/>
        <v>59</v>
      </c>
      <c r="G17" s="46">
        <f t="shared" si="0"/>
        <v>71</v>
      </c>
      <c r="H17" s="34" t="str">
        <f t="shared" si="8"/>
        <v>4</v>
      </c>
      <c r="I17" s="32">
        <f t="shared" si="3"/>
        <v>12</v>
      </c>
      <c r="J17" s="37">
        <v>20</v>
      </c>
      <c r="K17" s="50">
        <v>0</v>
      </c>
      <c r="L17" s="48">
        <f t="shared" si="1"/>
        <v>20</v>
      </c>
      <c r="M17" s="32" t="str">
        <f t="shared" si="9"/>
        <v>5</v>
      </c>
      <c r="N17" s="49">
        <f t="shared" si="4"/>
        <v>20</v>
      </c>
      <c r="O17" s="49">
        <f t="shared" si="5"/>
        <v>9</v>
      </c>
      <c r="P17" s="49">
        <f t="shared" si="6"/>
        <v>17</v>
      </c>
      <c r="Q17" s="23">
        <f t="shared" si="7"/>
        <v>29</v>
      </c>
    </row>
    <row r="18" spans="1:17" ht="24.95" customHeight="1" thickBot="1">
      <c r="A18" s="63">
        <v>127</v>
      </c>
      <c r="B18" s="64" t="s">
        <v>123</v>
      </c>
      <c r="C18" s="65" t="s">
        <v>124</v>
      </c>
      <c r="D18" s="41">
        <v>55</v>
      </c>
      <c r="E18" s="72">
        <v>24</v>
      </c>
      <c r="F18" s="32">
        <f t="shared" si="2"/>
        <v>79</v>
      </c>
      <c r="G18" s="46">
        <f t="shared" si="0"/>
        <v>95</v>
      </c>
      <c r="H18" s="34" t="str">
        <f t="shared" si="8"/>
        <v>5</v>
      </c>
      <c r="I18" s="32">
        <f t="shared" si="3"/>
        <v>15</v>
      </c>
      <c r="J18" s="37">
        <v>20</v>
      </c>
      <c r="K18" s="50">
        <v>0</v>
      </c>
      <c r="L18" s="48">
        <f t="shared" si="1"/>
        <v>20</v>
      </c>
      <c r="M18" s="32" t="str">
        <f t="shared" si="9"/>
        <v>5</v>
      </c>
      <c r="N18" s="49">
        <f t="shared" si="4"/>
        <v>20</v>
      </c>
      <c r="O18" s="49">
        <f t="shared" si="5"/>
        <v>10</v>
      </c>
      <c r="P18" s="49">
        <f t="shared" si="6"/>
        <v>20</v>
      </c>
      <c r="Q18" s="23">
        <f t="shared" si="7"/>
        <v>30</v>
      </c>
    </row>
    <row r="19" spans="1:17" ht="24.95" customHeight="1" thickBot="1">
      <c r="A19" s="63">
        <v>128</v>
      </c>
      <c r="B19" s="64" t="s">
        <v>125</v>
      </c>
      <c r="C19" s="65" t="s">
        <v>126</v>
      </c>
      <c r="D19" s="41">
        <v>47</v>
      </c>
      <c r="E19" s="72">
        <v>22</v>
      </c>
      <c r="F19" s="32">
        <f t="shared" si="2"/>
        <v>69</v>
      </c>
      <c r="G19" s="46">
        <f t="shared" si="0"/>
        <v>83</v>
      </c>
      <c r="H19" s="34" t="str">
        <f t="shared" si="8"/>
        <v>5</v>
      </c>
      <c r="I19" s="32">
        <f t="shared" si="3"/>
        <v>15</v>
      </c>
      <c r="J19" s="37">
        <v>20</v>
      </c>
      <c r="K19" s="50">
        <v>0</v>
      </c>
      <c r="L19" s="48">
        <f t="shared" si="1"/>
        <v>20</v>
      </c>
      <c r="M19" s="32" t="str">
        <f t="shared" si="9"/>
        <v>5</v>
      </c>
      <c r="N19" s="49">
        <f t="shared" si="4"/>
        <v>20</v>
      </c>
      <c r="O19" s="49">
        <f t="shared" si="5"/>
        <v>10</v>
      </c>
      <c r="P19" s="49">
        <f t="shared" si="6"/>
        <v>20</v>
      </c>
      <c r="Q19" s="23">
        <f t="shared" si="7"/>
        <v>30</v>
      </c>
    </row>
    <row r="20" spans="1:17" ht="24.95" customHeight="1" thickBot="1">
      <c r="A20" s="63">
        <v>129</v>
      </c>
      <c r="B20" s="64" t="s">
        <v>127</v>
      </c>
      <c r="C20" s="65" t="s">
        <v>128</v>
      </c>
      <c r="D20" s="41">
        <v>24</v>
      </c>
      <c r="E20" s="72">
        <v>26</v>
      </c>
      <c r="F20" s="32">
        <f t="shared" si="2"/>
        <v>50</v>
      </c>
      <c r="G20" s="46">
        <f t="shared" si="0"/>
        <v>60</v>
      </c>
      <c r="H20" s="34" t="str">
        <f t="shared" si="8"/>
        <v>4</v>
      </c>
      <c r="I20" s="32">
        <f t="shared" si="3"/>
        <v>12</v>
      </c>
      <c r="J20" s="37">
        <v>19</v>
      </c>
      <c r="K20" s="50">
        <v>0</v>
      </c>
      <c r="L20" s="48">
        <f t="shared" si="1"/>
        <v>19</v>
      </c>
      <c r="M20" s="32" t="str">
        <f t="shared" si="9"/>
        <v>5</v>
      </c>
      <c r="N20" s="49">
        <f t="shared" si="4"/>
        <v>19</v>
      </c>
      <c r="O20" s="49">
        <f t="shared" si="5"/>
        <v>9</v>
      </c>
      <c r="P20" s="49">
        <f t="shared" si="6"/>
        <v>17</v>
      </c>
      <c r="Q20" s="23">
        <f t="shared" si="7"/>
        <v>28</v>
      </c>
    </row>
    <row r="21" spans="1:17" ht="24.95" customHeight="1" thickBot="1">
      <c r="A21" s="63">
        <v>130</v>
      </c>
      <c r="B21" s="64" t="s">
        <v>129</v>
      </c>
      <c r="C21" s="65" t="s">
        <v>130</v>
      </c>
      <c r="D21" s="41">
        <v>49</v>
      </c>
      <c r="E21" s="72">
        <v>24</v>
      </c>
      <c r="F21" s="32">
        <f t="shared" si="2"/>
        <v>73</v>
      </c>
      <c r="G21" s="46">
        <f t="shared" si="0"/>
        <v>87</v>
      </c>
      <c r="H21" s="34" t="str">
        <f t="shared" si="8"/>
        <v>5</v>
      </c>
      <c r="I21" s="32">
        <f t="shared" si="3"/>
        <v>15</v>
      </c>
      <c r="J21" s="37">
        <v>20</v>
      </c>
      <c r="K21" s="50">
        <v>0</v>
      </c>
      <c r="L21" s="48">
        <f t="shared" si="1"/>
        <v>20</v>
      </c>
      <c r="M21" s="32" t="str">
        <f t="shared" si="9"/>
        <v>5</v>
      </c>
      <c r="N21" s="49">
        <f t="shared" si="4"/>
        <v>20</v>
      </c>
      <c r="O21" s="49">
        <f t="shared" si="5"/>
        <v>10</v>
      </c>
      <c r="P21" s="49">
        <f t="shared" si="6"/>
        <v>20</v>
      </c>
      <c r="Q21" s="23">
        <f t="shared" si="7"/>
        <v>30</v>
      </c>
    </row>
    <row r="22" spans="1:17" ht="24.95" customHeight="1" thickBot="1">
      <c r="A22" s="63">
        <v>131</v>
      </c>
      <c r="B22" s="64" t="s">
        <v>131</v>
      </c>
      <c r="C22" s="65" t="s">
        <v>132</v>
      </c>
      <c r="D22" s="41">
        <v>49</v>
      </c>
      <c r="E22" s="72">
        <v>22</v>
      </c>
      <c r="F22" s="32">
        <f t="shared" si="2"/>
        <v>71</v>
      </c>
      <c r="G22" s="46">
        <f t="shared" si="0"/>
        <v>85</v>
      </c>
      <c r="H22" s="34" t="str">
        <f t="shared" si="8"/>
        <v>5</v>
      </c>
      <c r="I22" s="32">
        <f t="shared" si="3"/>
        <v>15</v>
      </c>
      <c r="J22" s="37">
        <v>20</v>
      </c>
      <c r="K22" s="50">
        <v>0</v>
      </c>
      <c r="L22" s="48">
        <f t="shared" si="1"/>
        <v>20</v>
      </c>
      <c r="M22" s="32" t="str">
        <f t="shared" si="9"/>
        <v>5</v>
      </c>
      <c r="N22" s="49">
        <f t="shared" si="4"/>
        <v>20</v>
      </c>
      <c r="O22" s="49">
        <f t="shared" si="5"/>
        <v>10</v>
      </c>
      <c r="P22" s="49">
        <f t="shared" si="6"/>
        <v>20</v>
      </c>
      <c r="Q22" s="23">
        <f t="shared" si="7"/>
        <v>30</v>
      </c>
    </row>
    <row r="23" spans="1:17" ht="24.95" customHeight="1" thickBot="1">
      <c r="A23" s="63">
        <v>132</v>
      </c>
      <c r="B23" s="64" t="s">
        <v>133</v>
      </c>
      <c r="C23" s="65" t="s">
        <v>134</v>
      </c>
      <c r="D23" s="41">
        <v>19</v>
      </c>
      <c r="E23" s="72">
        <v>8</v>
      </c>
      <c r="F23" s="32">
        <f t="shared" si="2"/>
        <v>27</v>
      </c>
      <c r="G23" s="46">
        <f t="shared" si="0"/>
        <v>33</v>
      </c>
      <c r="H23" s="34" t="str">
        <f t="shared" si="8"/>
        <v>1</v>
      </c>
      <c r="I23" s="32">
        <f t="shared" si="3"/>
        <v>3</v>
      </c>
      <c r="J23" s="39">
        <v>0</v>
      </c>
      <c r="K23" s="50">
        <v>13</v>
      </c>
      <c r="L23" s="48">
        <f t="shared" si="1"/>
        <v>13</v>
      </c>
      <c r="M23" s="32" t="str">
        <f t="shared" si="9"/>
        <v>4</v>
      </c>
      <c r="N23" s="49">
        <f t="shared" si="4"/>
        <v>13</v>
      </c>
      <c r="O23" s="49">
        <f t="shared" si="5"/>
        <v>5</v>
      </c>
      <c r="P23" s="49">
        <f t="shared" si="6"/>
        <v>7</v>
      </c>
      <c r="Q23" s="23">
        <f t="shared" si="7"/>
        <v>18</v>
      </c>
    </row>
    <row r="24" spans="1:17" ht="24.95" customHeight="1" thickBot="1">
      <c r="A24" s="63">
        <v>133</v>
      </c>
      <c r="B24" s="64" t="s">
        <v>135</v>
      </c>
      <c r="C24" s="65" t="s">
        <v>136</v>
      </c>
      <c r="D24" s="41">
        <v>45</v>
      </c>
      <c r="E24" s="72">
        <v>18</v>
      </c>
      <c r="F24" s="32">
        <f t="shared" si="2"/>
        <v>63</v>
      </c>
      <c r="G24" s="46">
        <f t="shared" si="0"/>
        <v>75</v>
      </c>
      <c r="H24" s="34" t="str">
        <f t="shared" si="8"/>
        <v>5</v>
      </c>
      <c r="I24" s="32">
        <f t="shared" si="3"/>
        <v>15</v>
      </c>
      <c r="J24" s="36">
        <v>13</v>
      </c>
      <c r="K24" s="50">
        <v>0</v>
      </c>
      <c r="L24" s="48">
        <f t="shared" si="1"/>
        <v>13</v>
      </c>
      <c r="M24" s="32" t="str">
        <f t="shared" si="9"/>
        <v>5</v>
      </c>
      <c r="N24" s="49">
        <f t="shared" si="4"/>
        <v>13</v>
      </c>
      <c r="O24" s="49">
        <f t="shared" si="5"/>
        <v>10</v>
      </c>
      <c r="P24" s="49">
        <f t="shared" si="6"/>
        <v>20</v>
      </c>
      <c r="Q24" s="23">
        <f t="shared" si="7"/>
        <v>23</v>
      </c>
    </row>
    <row r="25" spans="1:17" ht="24.95" customHeight="1" thickBot="1">
      <c r="A25" s="63">
        <v>134</v>
      </c>
      <c r="B25" s="64" t="s">
        <v>137</v>
      </c>
      <c r="C25" s="65" t="s">
        <v>138</v>
      </c>
      <c r="D25" s="41">
        <v>40</v>
      </c>
      <c r="E25" s="72">
        <v>18</v>
      </c>
      <c r="F25" s="32">
        <f t="shared" si="2"/>
        <v>58</v>
      </c>
      <c r="G25" s="46">
        <f t="shared" si="0"/>
        <v>70</v>
      </c>
      <c r="H25" s="34" t="str">
        <f t="shared" si="8"/>
        <v>4</v>
      </c>
      <c r="I25" s="32">
        <f t="shared" si="3"/>
        <v>12</v>
      </c>
      <c r="J25" s="37">
        <v>20</v>
      </c>
      <c r="K25" s="50">
        <v>0</v>
      </c>
      <c r="L25" s="48">
        <f t="shared" si="1"/>
        <v>20</v>
      </c>
      <c r="M25" s="32" t="str">
        <f t="shared" si="9"/>
        <v>5</v>
      </c>
      <c r="N25" s="49">
        <f t="shared" si="4"/>
        <v>20</v>
      </c>
      <c r="O25" s="49">
        <f t="shared" si="5"/>
        <v>9</v>
      </c>
      <c r="P25" s="49">
        <f t="shared" si="6"/>
        <v>17</v>
      </c>
      <c r="Q25" s="23">
        <f t="shared" si="7"/>
        <v>29</v>
      </c>
    </row>
    <row r="26" spans="1:17" ht="24.95" customHeight="1" thickBot="1">
      <c r="A26" s="63">
        <v>135</v>
      </c>
      <c r="B26" s="64" t="s">
        <v>139</v>
      </c>
      <c r="C26" s="65" t="s">
        <v>140</v>
      </c>
      <c r="D26" s="41">
        <v>34</v>
      </c>
      <c r="E26" s="72">
        <v>20</v>
      </c>
      <c r="F26" s="32">
        <f t="shared" si="2"/>
        <v>54</v>
      </c>
      <c r="G26" s="46">
        <f t="shared" si="0"/>
        <v>65</v>
      </c>
      <c r="H26" s="34" t="str">
        <f t="shared" si="8"/>
        <v>4</v>
      </c>
      <c r="I26" s="32">
        <f t="shared" si="3"/>
        <v>12</v>
      </c>
      <c r="J26" s="36">
        <v>17</v>
      </c>
      <c r="K26" s="50">
        <v>0</v>
      </c>
      <c r="L26" s="48">
        <f t="shared" si="1"/>
        <v>17</v>
      </c>
      <c r="M26" s="32" t="str">
        <f t="shared" si="9"/>
        <v>5</v>
      </c>
      <c r="N26" s="49">
        <f t="shared" si="4"/>
        <v>17</v>
      </c>
      <c r="O26" s="49">
        <f t="shared" si="5"/>
        <v>9</v>
      </c>
      <c r="P26" s="49">
        <f t="shared" si="6"/>
        <v>17</v>
      </c>
      <c r="Q26" s="23">
        <f t="shared" si="7"/>
        <v>26</v>
      </c>
    </row>
    <row r="27" spans="1:17" ht="24.95" customHeight="1" thickBot="1">
      <c r="A27" s="63">
        <v>136</v>
      </c>
      <c r="B27" s="64" t="s">
        <v>141</v>
      </c>
      <c r="C27" s="65" t="s">
        <v>142</v>
      </c>
      <c r="D27" s="41">
        <v>34</v>
      </c>
      <c r="E27" s="72">
        <v>22</v>
      </c>
      <c r="F27" s="32">
        <f t="shared" si="2"/>
        <v>56</v>
      </c>
      <c r="G27" s="46">
        <f t="shared" si="0"/>
        <v>67</v>
      </c>
      <c r="H27" s="34" t="str">
        <f t="shared" si="8"/>
        <v>4</v>
      </c>
      <c r="I27" s="32">
        <f t="shared" si="3"/>
        <v>12</v>
      </c>
      <c r="J27" s="37">
        <v>20</v>
      </c>
      <c r="K27" s="50">
        <v>0</v>
      </c>
      <c r="L27" s="48">
        <f t="shared" si="1"/>
        <v>20</v>
      </c>
      <c r="M27" s="32" t="str">
        <f t="shared" si="9"/>
        <v>5</v>
      </c>
      <c r="N27" s="49">
        <f t="shared" si="4"/>
        <v>20</v>
      </c>
      <c r="O27" s="49">
        <f t="shared" si="5"/>
        <v>9</v>
      </c>
      <c r="P27" s="49">
        <f t="shared" si="6"/>
        <v>17</v>
      </c>
      <c r="Q27" s="23">
        <f t="shared" si="7"/>
        <v>29</v>
      </c>
    </row>
    <row r="28" spans="1:17" ht="24.95" customHeight="1" thickBot="1">
      <c r="A28" s="63">
        <v>137</v>
      </c>
      <c r="B28" s="64" t="s">
        <v>143</v>
      </c>
      <c r="C28" s="65" t="s">
        <v>144</v>
      </c>
      <c r="D28" s="41">
        <v>40</v>
      </c>
      <c r="E28" s="72">
        <v>14</v>
      </c>
      <c r="F28" s="32">
        <f t="shared" si="2"/>
        <v>54</v>
      </c>
      <c r="G28" s="46">
        <f t="shared" si="0"/>
        <v>65</v>
      </c>
      <c r="H28" s="34" t="str">
        <f t="shared" si="8"/>
        <v>4</v>
      </c>
      <c r="I28" s="32">
        <f t="shared" si="3"/>
        <v>12</v>
      </c>
      <c r="J28" s="37">
        <v>19</v>
      </c>
      <c r="K28" s="50">
        <v>0</v>
      </c>
      <c r="L28" s="48">
        <f t="shared" si="1"/>
        <v>19</v>
      </c>
      <c r="M28" s="32" t="str">
        <f t="shared" si="9"/>
        <v>5</v>
      </c>
      <c r="N28" s="49">
        <f t="shared" si="4"/>
        <v>19</v>
      </c>
      <c r="O28" s="49">
        <f t="shared" si="5"/>
        <v>9</v>
      </c>
      <c r="P28" s="49">
        <f t="shared" si="6"/>
        <v>17</v>
      </c>
      <c r="Q28" s="23">
        <f t="shared" si="7"/>
        <v>28</v>
      </c>
    </row>
    <row r="29" spans="1:17" ht="24.95" customHeight="1" thickBot="1">
      <c r="A29" s="63">
        <v>138</v>
      </c>
      <c r="B29" s="64" t="s">
        <v>145</v>
      </c>
      <c r="C29" s="65" t="s">
        <v>144</v>
      </c>
      <c r="D29" s="41">
        <v>32</v>
      </c>
      <c r="E29" s="72">
        <v>14</v>
      </c>
      <c r="F29" s="32">
        <f t="shared" si="2"/>
        <v>46</v>
      </c>
      <c r="G29" s="46">
        <f t="shared" si="0"/>
        <v>55</v>
      </c>
      <c r="H29" s="34" t="str">
        <f t="shared" si="8"/>
        <v>3</v>
      </c>
      <c r="I29" s="32">
        <f t="shared" si="3"/>
        <v>9</v>
      </c>
      <c r="J29" s="37">
        <v>17</v>
      </c>
      <c r="K29" s="50">
        <v>0</v>
      </c>
      <c r="L29" s="48">
        <f t="shared" si="1"/>
        <v>17</v>
      </c>
      <c r="M29" s="32" t="str">
        <f t="shared" si="9"/>
        <v>5</v>
      </c>
      <c r="N29" s="49">
        <f t="shared" si="4"/>
        <v>17</v>
      </c>
      <c r="O29" s="49">
        <f t="shared" si="5"/>
        <v>8</v>
      </c>
      <c r="P29" s="49">
        <f t="shared" si="6"/>
        <v>14</v>
      </c>
      <c r="Q29" s="23">
        <f t="shared" si="7"/>
        <v>25</v>
      </c>
    </row>
    <row r="30" spans="1:17" ht="24.95" customHeight="1" thickBot="1">
      <c r="A30" s="63">
        <v>139</v>
      </c>
      <c r="B30" s="64" t="s">
        <v>146</v>
      </c>
      <c r="C30" s="65" t="s">
        <v>147</v>
      </c>
      <c r="D30" s="41">
        <v>53</v>
      </c>
      <c r="E30" s="72">
        <v>14</v>
      </c>
      <c r="F30" s="32">
        <f t="shared" si="2"/>
        <v>67</v>
      </c>
      <c r="G30" s="46">
        <f t="shared" si="0"/>
        <v>80</v>
      </c>
      <c r="H30" s="34" t="str">
        <f t="shared" si="8"/>
        <v>5</v>
      </c>
      <c r="I30" s="32">
        <f t="shared" si="3"/>
        <v>15</v>
      </c>
      <c r="J30" s="39">
        <v>19</v>
      </c>
      <c r="K30" s="50">
        <v>0</v>
      </c>
      <c r="L30" s="48">
        <f t="shared" si="1"/>
        <v>19</v>
      </c>
      <c r="M30" s="32" t="str">
        <f t="shared" si="9"/>
        <v>5</v>
      </c>
      <c r="N30" s="49">
        <f t="shared" si="4"/>
        <v>19</v>
      </c>
      <c r="O30" s="49">
        <f t="shared" si="5"/>
        <v>10</v>
      </c>
      <c r="P30" s="49">
        <f t="shared" si="6"/>
        <v>20</v>
      </c>
      <c r="Q30" s="23">
        <f t="shared" si="7"/>
        <v>29</v>
      </c>
    </row>
    <row r="31" spans="1:17" ht="24.95" customHeight="1" thickBot="1">
      <c r="A31" s="63">
        <v>140</v>
      </c>
      <c r="B31" s="64" t="s">
        <v>148</v>
      </c>
      <c r="C31" s="65" t="s">
        <v>149</v>
      </c>
      <c r="D31" s="41">
        <v>22</v>
      </c>
      <c r="E31" s="72">
        <v>22</v>
      </c>
      <c r="F31" s="32">
        <f t="shared" si="2"/>
        <v>44</v>
      </c>
      <c r="G31" s="46">
        <f t="shared" si="0"/>
        <v>53</v>
      </c>
      <c r="H31" s="34" t="str">
        <f t="shared" si="8"/>
        <v>3</v>
      </c>
      <c r="I31" s="32">
        <f t="shared" si="3"/>
        <v>9</v>
      </c>
      <c r="J31" s="37">
        <v>19</v>
      </c>
      <c r="K31" s="50">
        <v>0</v>
      </c>
      <c r="L31" s="48">
        <f t="shared" si="1"/>
        <v>19</v>
      </c>
      <c r="M31" s="32" t="str">
        <f t="shared" si="9"/>
        <v>5</v>
      </c>
      <c r="N31" s="49">
        <f t="shared" si="4"/>
        <v>19</v>
      </c>
      <c r="O31" s="49">
        <f t="shared" si="5"/>
        <v>8</v>
      </c>
      <c r="P31" s="49">
        <f t="shared" si="6"/>
        <v>14</v>
      </c>
      <c r="Q31" s="23">
        <f t="shared" si="7"/>
        <v>27</v>
      </c>
    </row>
    <row r="32" spans="1:17" ht="24.95" customHeight="1" thickBot="1">
      <c r="A32" s="63">
        <v>141</v>
      </c>
      <c r="B32" s="64" t="s">
        <v>150</v>
      </c>
      <c r="C32" s="65" t="s">
        <v>151</v>
      </c>
      <c r="D32" s="41">
        <v>43</v>
      </c>
      <c r="E32" s="72">
        <v>18</v>
      </c>
      <c r="F32" s="32">
        <f t="shared" si="2"/>
        <v>61</v>
      </c>
      <c r="G32" s="46">
        <f t="shared" si="0"/>
        <v>73</v>
      </c>
      <c r="H32" s="34" t="str">
        <f t="shared" si="8"/>
        <v>4</v>
      </c>
      <c r="I32" s="32">
        <f t="shared" si="3"/>
        <v>12</v>
      </c>
      <c r="J32" s="37">
        <v>19</v>
      </c>
      <c r="K32" s="50">
        <v>0</v>
      </c>
      <c r="L32" s="48">
        <f t="shared" si="1"/>
        <v>19</v>
      </c>
      <c r="M32" s="32" t="str">
        <f t="shared" si="9"/>
        <v>5</v>
      </c>
      <c r="N32" s="49">
        <f t="shared" si="4"/>
        <v>19</v>
      </c>
      <c r="O32" s="49">
        <f t="shared" si="5"/>
        <v>9</v>
      </c>
      <c r="P32" s="49">
        <f t="shared" si="6"/>
        <v>17</v>
      </c>
      <c r="Q32" s="23">
        <f t="shared" si="7"/>
        <v>28</v>
      </c>
    </row>
    <row r="33" spans="1:35" ht="24.95" customHeight="1" thickBot="1">
      <c r="A33" s="63">
        <v>142</v>
      </c>
      <c r="B33" s="64" t="s">
        <v>152</v>
      </c>
      <c r="C33" s="65" t="s">
        <v>153</v>
      </c>
      <c r="D33" s="41">
        <v>42</v>
      </c>
      <c r="E33" s="72">
        <v>22</v>
      </c>
      <c r="F33" s="32">
        <f t="shared" si="2"/>
        <v>64</v>
      </c>
      <c r="G33" s="46">
        <f t="shared" si="0"/>
        <v>77</v>
      </c>
      <c r="H33" s="34" t="str">
        <f t="shared" si="8"/>
        <v>5</v>
      </c>
      <c r="I33" s="32">
        <f t="shared" si="3"/>
        <v>15</v>
      </c>
      <c r="J33" s="37">
        <v>15</v>
      </c>
      <c r="K33" s="50">
        <v>0</v>
      </c>
      <c r="L33" s="48">
        <f t="shared" si="1"/>
        <v>15</v>
      </c>
      <c r="M33" s="32" t="str">
        <f t="shared" si="9"/>
        <v>5</v>
      </c>
      <c r="N33" s="49">
        <f t="shared" si="4"/>
        <v>15</v>
      </c>
      <c r="O33" s="49">
        <f t="shared" si="5"/>
        <v>10</v>
      </c>
      <c r="P33" s="49">
        <f t="shared" si="6"/>
        <v>20</v>
      </c>
      <c r="Q33" s="23">
        <f t="shared" si="7"/>
        <v>25</v>
      </c>
    </row>
    <row r="34" spans="1:35" ht="24.95" customHeight="1" thickBot="1">
      <c r="A34" s="63">
        <v>143</v>
      </c>
      <c r="B34" s="64" t="s">
        <v>154</v>
      </c>
      <c r="C34" s="65" t="s">
        <v>155</v>
      </c>
      <c r="D34" s="41">
        <v>36</v>
      </c>
      <c r="E34" s="72">
        <v>20</v>
      </c>
      <c r="F34" s="32">
        <f t="shared" si="2"/>
        <v>56</v>
      </c>
      <c r="G34" s="46">
        <f t="shared" si="0"/>
        <v>67</v>
      </c>
      <c r="H34" s="34" t="str">
        <f t="shared" si="8"/>
        <v>4</v>
      </c>
      <c r="I34" s="32">
        <f t="shared" si="3"/>
        <v>12</v>
      </c>
      <c r="J34" s="39">
        <v>15</v>
      </c>
      <c r="K34" s="50">
        <v>0</v>
      </c>
      <c r="L34" s="48">
        <f t="shared" si="1"/>
        <v>15</v>
      </c>
      <c r="M34" s="32" t="str">
        <f t="shared" si="9"/>
        <v>5</v>
      </c>
      <c r="N34" s="49">
        <f t="shared" si="4"/>
        <v>15</v>
      </c>
      <c r="O34" s="49">
        <f t="shared" si="5"/>
        <v>9</v>
      </c>
      <c r="P34" s="49">
        <f t="shared" si="6"/>
        <v>17</v>
      </c>
      <c r="Q34" s="23">
        <f t="shared" si="7"/>
        <v>24</v>
      </c>
    </row>
    <row r="35" spans="1:35" ht="24.95" customHeight="1" thickBot="1">
      <c r="A35" s="63">
        <v>144</v>
      </c>
      <c r="B35" s="64" t="s">
        <v>156</v>
      </c>
      <c r="C35" s="65" t="s">
        <v>157</v>
      </c>
      <c r="D35" s="41">
        <v>21</v>
      </c>
      <c r="E35" s="72">
        <v>22</v>
      </c>
      <c r="F35" s="32">
        <f t="shared" si="2"/>
        <v>43</v>
      </c>
      <c r="G35" s="46">
        <f t="shared" si="0"/>
        <v>52</v>
      </c>
      <c r="H35" s="34" t="str">
        <f t="shared" si="8"/>
        <v>3</v>
      </c>
      <c r="I35" s="32">
        <f t="shared" si="3"/>
        <v>9</v>
      </c>
      <c r="J35" s="39">
        <v>0</v>
      </c>
      <c r="K35" s="50">
        <v>8</v>
      </c>
      <c r="L35" s="48">
        <f t="shared" si="1"/>
        <v>8</v>
      </c>
      <c r="M35" s="32" t="str">
        <f t="shared" si="9"/>
        <v>5</v>
      </c>
      <c r="N35" s="49">
        <f t="shared" si="4"/>
        <v>8</v>
      </c>
      <c r="O35" s="49">
        <f t="shared" si="5"/>
        <v>8</v>
      </c>
      <c r="P35" s="49">
        <f t="shared" si="6"/>
        <v>14</v>
      </c>
      <c r="Q35" s="23">
        <f t="shared" si="7"/>
        <v>16</v>
      </c>
    </row>
    <row r="36" spans="1:35" ht="24.95" customHeight="1" thickBot="1">
      <c r="A36" s="69">
        <v>145</v>
      </c>
      <c r="B36" s="64" t="s">
        <v>158</v>
      </c>
      <c r="C36" s="65" t="s">
        <v>159</v>
      </c>
      <c r="D36" s="41">
        <v>20</v>
      </c>
      <c r="E36" s="72">
        <v>12</v>
      </c>
      <c r="F36" s="32">
        <f t="shared" si="2"/>
        <v>32</v>
      </c>
      <c r="G36" s="46">
        <f t="shared" si="0"/>
        <v>39</v>
      </c>
      <c r="H36" s="34" t="str">
        <f t="shared" si="8"/>
        <v>1</v>
      </c>
      <c r="I36" s="32">
        <f t="shared" si="3"/>
        <v>3</v>
      </c>
      <c r="J36" s="39">
        <v>0</v>
      </c>
      <c r="K36" s="50">
        <v>20</v>
      </c>
      <c r="L36" s="48">
        <f t="shared" si="1"/>
        <v>20</v>
      </c>
      <c r="M36" s="32" t="str">
        <f t="shared" si="9"/>
        <v>4</v>
      </c>
      <c r="N36" s="49">
        <f t="shared" si="4"/>
        <v>20</v>
      </c>
      <c r="O36" s="49">
        <f t="shared" si="5"/>
        <v>5</v>
      </c>
      <c r="P36" s="49">
        <f t="shared" si="6"/>
        <v>7</v>
      </c>
      <c r="Q36" s="23">
        <f t="shared" si="7"/>
        <v>25</v>
      </c>
    </row>
    <row r="37" spans="1:35" ht="24.95" customHeight="1" thickBot="1">
      <c r="A37" s="63">
        <v>146</v>
      </c>
      <c r="B37" s="64" t="s">
        <v>160</v>
      </c>
      <c r="C37" s="65" t="s">
        <v>161</v>
      </c>
      <c r="D37" s="41">
        <v>48</v>
      </c>
      <c r="E37" s="72">
        <v>22</v>
      </c>
      <c r="F37" s="32">
        <f t="shared" si="2"/>
        <v>70</v>
      </c>
      <c r="G37" s="46">
        <f t="shared" si="0"/>
        <v>84</v>
      </c>
      <c r="H37" s="34" t="str">
        <f t="shared" si="8"/>
        <v>5</v>
      </c>
      <c r="I37" s="32">
        <f t="shared" si="3"/>
        <v>15</v>
      </c>
      <c r="J37" s="37">
        <v>18</v>
      </c>
      <c r="K37" s="50">
        <v>0</v>
      </c>
      <c r="L37" s="48">
        <f t="shared" si="1"/>
        <v>18</v>
      </c>
      <c r="M37" s="32" t="str">
        <f t="shared" si="9"/>
        <v>5</v>
      </c>
      <c r="N37" s="49">
        <f t="shared" si="4"/>
        <v>18</v>
      </c>
      <c r="O37" s="49">
        <f t="shared" si="5"/>
        <v>10</v>
      </c>
      <c r="P37" s="49">
        <f t="shared" si="6"/>
        <v>20</v>
      </c>
      <c r="Q37" s="23">
        <f t="shared" si="7"/>
        <v>28</v>
      </c>
    </row>
    <row r="38" spans="1:35" ht="24.95" customHeight="1" thickBot="1">
      <c r="A38" s="63">
        <v>147</v>
      </c>
      <c r="B38" s="64" t="s">
        <v>162</v>
      </c>
      <c r="C38" s="65" t="s">
        <v>163</v>
      </c>
      <c r="D38" s="41">
        <v>56</v>
      </c>
      <c r="E38" s="72">
        <v>24</v>
      </c>
      <c r="F38" s="32">
        <f t="shared" si="2"/>
        <v>80</v>
      </c>
      <c r="G38" s="46">
        <f t="shared" si="0"/>
        <v>96</v>
      </c>
      <c r="H38" s="34" t="str">
        <f t="shared" si="8"/>
        <v>5</v>
      </c>
      <c r="I38" s="32">
        <f t="shared" si="3"/>
        <v>15</v>
      </c>
      <c r="J38" s="37">
        <v>20</v>
      </c>
      <c r="K38" s="50">
        <v>0</v>
      </c>
      <c r="L38" s="48">
        <f t="shared" si="1"/>
        <v>20</v>
      </c>
      <c r="M38" s="32" t="str">
        <f t="shared" si="9"/>
        <v>5</v>
      </c>
      <c r="N38" s="49">
        <f t="shared" si="4"/>
        <v>20</v>
      </c>
      <c r="O38" s="49">
        <f t="shared" si="5"/>
        <v>10</v>
      </c>
      <c r="P38" s="49">
        <f t="shared" si="6"/>
        <v>20</v>
      </c>
      <c r="Q38" s="23">
        <f t="shared" si="7"/>
        <v>30</v>
      </c>
    </row>
    <row r="39" spans="1:35" ht="24.95" customHeight="1" thickBot="1">
      <c r="A39" s="63">
        <v>148</v>
      </c>
      <c r="B39" s="64" t="s">
        <v>164</v>
      </c>
      <c r="C39" s="65" t="s">
        <v>165</v>
      </c>
      <c r="D39" s="41">
        <v>50</v>
      </c>
      <c r="E39" s="72">
        <v>22</v>
      </c>
      <c r="F39" s="32">
        <f t="shared" si="2"/>
        <v>72</v>
      </c>
      <c r="G39" s="46">
        <f t="shared" si="0"/>
        <v>86</v>
      </c>
      <c r="H39" s="34" t="str">
        <f t="shared" si="8"/>
        <v>5</v>
      </c>
      <c r="I39" s="32">
        <f t="shared" si="3"/>
        <v>15</v>
      </c>
      <c r="J39" s="39">
        <v>19</v>
      </c>
      <c r="K39" s="50">
        <v>0</v>
      </c>
      <c r="L39" s="48">
        <f t="shared" si="1"/>
        <v>19</v>
      </c>
      <c r="M39" s="32" t="str">
        <f t="shared" si="9"/>
        <v>5</v>
      </c>
      <c r="N39" s="49">
        <f t="shared" si="4"/>
        <v>19</v>
      </c>
      <c r="O39" s="49">
        <f t="shared" si="5"/>
        <v>10</v>
      </c>
      <c r="P39" s="49">
        <f t="shared" si="6"/>
        <v>20</v>
      </c>
      <c r="Q39" s="23">
        <f t="shared" si="7"/>
        <v>29</v>
      </c>
    </row>
    <row r="40" spans="1:35" ht="24.95" customHeight="1" thickBot="1">
      <c r="A40" s="63">
        <v>149</v>
      </c>
      <c r="B40" s="64" t="s">
        <v>166</v>
      </c>
      <c r="C40" s="65" t="s">
        <v>167</v>
      </c>
      <c r="D40" s="41">
        <v>34</v>
      </c>
      <c r="E40" s="72">
        <v>20</v>
      </c>
      <c r="F40" s="32">
        <f t="shared" si="2"/>
        <v>54</v>
      </c>
      <c r="G40" s="46">
        <f t="shared" si="0"/>
        <v>65</v>
      </c>
      <c r="H40" s="34" t="str">
        <f t="shared" si="8"/>
        <v>4</v>
      </c>
      <c r="I40" s="32">
        <f t="shared" si="3"/>
        <v>12</v>
      </c>
      <c r="J40" s="36">
        <v>18</v>
      </c>
      <c r="K40" s="50">
        <v>0</v>
      </c>
      <c r="L40" s="48">
        <f t="shared" si="1"/>
        <v>18</v>
      </c>
      <c r="M40" s="32" t="str">
        <f t="shared" si="9"/>
        <v>5</v>
      </c>
      <c r="N40" s="49">
        <f t="shared" si="4"/>
        <v>18</v>
      </c>
      <c r="O40" s="49">
        <f t="shared" si="5"/>
        <v>9</v>
      </c>
      <c r="P40" s="49">
        <f t="shared" si="6"/>
        <v>17</v>
      </c>
      <c r="Q40" s="23">
        <f t="shared" si="7"/>
        <v>27</v>
      </c>
    </row>
    <row r="41" spans="1:35" ht="24.95" customHeight="1" thickBot="1">
      <c r="A41" s="63">
        <v>150</v>
      </c>
      <c r="B41" s="64" t="s">
        <v>168</v>
      </c>
      <c r="C41" s="65" t="s">
        <v>169</v>
      </c>
      <c r="D41" s="41">
        <v>48</v>
      </c>
      <c r="E41" s="72">
        <v>18</v>
      </c>
      <c r="F41" s="32">
        <f t="shared" si="2"/>
        <v>66</v>
      </c>
      <c r="G41" s="46">
        <f t="shared" si="0"/>
        <v>79</v>
      </c>
      <c r="H41" s="34" t="str">
        <f t="shared" si="8"/>
        <v>5</v>
      </c>
      <c r="I41" s="32">
        <f t="shared" si="3"/>
        <v>15</v>
      </c>
      <c r="J41" s="37">
        <v>20</v>
      </c>
      <c r="K41" s="50">
        <v>0</v>
      </c>
      <c r="L41" s="48">
        <f t="shared" si="1"/>
        <v>20</v>
      </c>
      <c r="M41" s="32" t="str">
        <f t="shared" si="9"/>
        <v>5</v>
      </c>
      <c r="N41" s="49">
        <f t="shared" si="4"/>
        <v>20</v>
      </c>
      <c r="O41" s="49">
        <f t="shared" si="5"/>
        <v>10</v>
      </c>
      <c r="P41" s="49">
        <f t="shared" si="6"/>
        <v>20</v>
      </c>
      <c r="Q41" s="23">
        <f t="shared" si="7"/>
        <v>30</v>
      </c>
    </row>
    <row r="42" spans="1:35" ht="24.95" customHeight="1" thickBot="1">
      <c r="A42" s="63">
        <v>151</v>
      </c>
      <c r="B42" s="64" t="s">
        <v>170</v>
      </c>
      <c r="C42" s="65" t="s">
        <v>171</v>
      </c>
      <c r="D42" s="41">
        <v>39</v>
      </c>
      <c r="E42" s="72">
        <v>18</v>
      </c>
      <c r="F42" s="32">
        <f t="shared" si="2"/>
        <v>57</v>
      </c>
      <c r="G42" s="46">
        <f t="shared" si="0"/>
        <v>68</v>
      </c>
      <c r="H42" s="34" t="str">
        <f t="shared" si="8"/>
        <v>4</v>
      </c>
      <c r="I42" s="32">
        <f t="shared" si="3"/>
        <v>12</v>
      </c>
      <c r="J42" s="39">
        <v>16</v>
      </c>
      <c r="K42" s="50">
        <v>0</v>
      </c>
      <c r="L42" s="48">
        <f t="shared" si="1"/>
        <v>16</v>
      </c>
      <c r="M42" s="32" t="str">
        <f t="shared" si="9"/>
        <v>5</v>
      </c>
      <c r="N42" s="49">
        <f t="shared" si="4"/>
        <v>16</v>
      </c>
      <c r="O42" s="49">
        <f t="shared" si="5"/>
        <v>9</v>
      </c>
      <c r="P42" s="49">
        <f t="shared" si="6"/>
        <v>17</v>
      </c>
      <c r="Q42" s="23">
        <f t="shared" si="7"/>
        <v>25</v>
      </c>
    </row>
    <row r="43" spans="1:35" ht="24.95" customHeight="1" thickBot="1">
      <c r="A43" s="63">
        <v>152</v>
      </c>
      <c r="B43" s="64" t="s">
        <v>172</v>
      </c>
      <c r="C43" s="65" t="s">
        <v>173</v>
      </c>
      <c r="D43" s="41">
        <v>42</v>
      </c>
      <c r="E43" s="72">
        <v>14</v>
      </c>
      <c r="F43" s="32">
        <f t="shared" si="2"/>
        <v>56</v>
      </c>
      <c r="G43" s="46">
        <f t="shared" si="0"/>
        <v>67</v>
      </c>
      <c r="H43" s="34" t="str">
        <f t="shared" si="8"/>
        <v>4</v>
      </c>
      <c r="I43" s="32">
        <f t="shared" si="3"/>
        <v>12</v>
      </c>
      <c r="J43" s="39">
        <v>19</v>
      </c>
      <c r="K43" s="50">
        <v>0</v>
      </c>
      <c r="L43" s="48">
        <f t="shared" si="1"/>
        <v>19</v>
      </c>
      <c r="M43" s="32" t="str">
        <f t="shared" si="9"/>
        <v>5</v>
      </c>
      <c r="N43" s="49">
        <f t="shared" si="4"/>
        <v>19</v>
      </c>
      <c r="O43" s="49">
        <f t="shared" si="5"/>
        <v>9</v>
      </c>
      <c r="P43" s="49">
        <f t="shared" si="6"/>
        <v>17</v>
      </c>
      <c r="Q43" s="23">
        <f t="shared" si="7"/>
        <v>28</v>
      </c>
    </row>
    <row r="44" spans="1:35" ht="24.95" customHeight="1" thickBot="1">
      <c r="A44" s="68">
        <v>153</v>
      </c>
      <c r="B44" s="64" t="s">
        <v>174</v>
      </c>
      <c r="C44" s="65" t="s">
        <v>175</v>
      </c>
      <c r="D44" s="41">
        <v>36</v>
      </c>
      <c r="E44" s="72">
        <v>18</v>
      </c>
      <c r="F44" s="32">
        <f t="shared" si="2"/>
        <v>54</v>
      </c>
      <c r="G44" s="46">
        <f t="shared" si="0"/>
        <v>65</v>
      </c>
      <c r="H44" s="34" t="str">
        <f t="shared" si="8"/>
        <v>4</v>
      </c>
      <c r="I44" s="32">
        <f t="shared" si="3"/>
        <v>12</v>
      </c>
      <c r="J44" s="39">
        <v>0</v>
      </c>
      <c r="K44" s="50">
        <v>20</v>
      </c>
      <c r="L44" s="48">
        <f t="shared" si="1"/>
        <v>20</v>
      </c>
      <c r="M44" s="32" t="str">
        <f t="shared" si="9"/>
        <v>5</v>
      </c>
      <c r="N44" s="49">
        <f t="shared" si="4"/>
        <v>20</v>
      </c>
      <c r="O44" s="49">
        <f t="shared" si="5"/>
        <v>9</v>
      </c>
      <c r="P44" s="49">
        <f t="shared" si="6"/>
        <v>17</v>
      </c>
      <c r="Q44" s="23">
        <f t="shared" si="7"/>
        <v>29</v>
      </c>
    </row>
    <row r="45" spans="1:35" ht="24.95" customHeight="1" thickBot="1">
      <c r="A45" s="4"/>
      <c r="B45" s="15"/>
      <c r="C45" s="16"/>
      <c r="D45" s="17"/>
      <c r="E45" s="15"/>
      <c r="F45" s="15"/>
      <c r="G45" s="15"/>
      <c r="H45" s="17"/>
      <c r="I45" s="15"/>
      <c r="J45" s="15"/>
      <c r="K45" s="35"/>
      <c r="L45" s="15"/>
      <c r="M45" s="15"/>
      <c r="N45" s="15"/>
      <c r="O45" s="15"/>
      <c r="P45" s="15"/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  <c r="AB45" s="5"/>
      <c r="AC45" s="5"/>
      <c r="AD45" s="5"/>
      <c r="AE45" s="5"/>
      <c r="AF45" s="5"/>
      <c r="AG45" s="5"/>
      <c r="AH45" s="5"/>
      <c r="AI45" s="5"/>
    </row>
    <row r="46" spans="1:35" ht="24.95" customHeight="1">
      <c r="A46" s="6" t="s">
        <v>22</v>
      </c>
      <c r="B46" s="18" t="s">
        <v>25</v>
      </c>
      <c r="C46" s="16"/>
      <c r="D46" s="17"/>
      <c r="E46" s="15"/>
      <c r="F46" s="15"/>
      <c r="G46" s="15"/>
      <c r="H46" s="17"/>
      <c r="I46" s="15"/>
      <c r="J46" s="15"/>
      <c r="K46" s="17"/>
      <c r="L46" s="15"/>
      <c r="M46" s="15"/>
      <c r="N46" s="56" t="s">
        <v>24</v>
      </c>
      <c r="O46" s="57"/>
      <c r="P46" s="58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/>
    </row>
    <row r="47" spans="1:35" ht="13.5" customHeight="1">
      <c r="A47" s="7"/>
      <c r="B47" s="7"/>
      <c r="C47" s="8"/>
      <c r="D47" s="9"/>
      <c r="E47" s="10"/>
      <c r="F47" s="7"/>
      <c r="G47" s="7"/>
      <c r="H47" s="7"/>
      <c r="I47" s="7"/>
      <c r="J47" s="7"/>
      <c r="K47" s="7"/>
      <c r="L47" s="7"/>
      <c r="M47" s="7"/>
      <c r="N47" s="11"/>
      <c r="O47" s="7"/>
      <c r="P47" s="7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AB47" s="5"/>
      <c r="AC47" s="5"/>
      <c r="AD47" s="5"/>
      <c r="AE47" s="5"/>
      <c r="AF47" s="5"/>
      <c r="AG47" s="5"/>
      <c r="AH47" s="5"/>
      <c r="AI47" s="5"/>
    </row>
    <row r="48" spans="1:35" ht="13.5" customHeight="1">
      <c r="A48" s="2"/>
      <c r="B48" s="2"/>
      <c r="C48" s="12"/>
      <c r="D48" s="13"/>
      <c r="E48" s="14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  <c r="AH48" s="5"/>
      <c r="AI48" s="5"/>
    </row>
    <row r="49" spans="1:35" ht="13.5" customHeight="1">
      <c r="A49" s="2"/>
      <c r="B49" s="2"/>
      <c r="C49" s="12"/>
      <c r="D49" s="13"/>
      <c r="E49" s="14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</row>
    <row r="50" spans="1:35" ht="13.5" customHeight="1">
      <c r="A50" s="2"/>
      <c r="B50" s="2"/>
      <c r="C50" s="12"/>
      <c r="D50" s="13"/>
      <c r="E50" s="14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/>
      <c r="AH50" s="5"/>
      <c r="AI50" s="5"/>
    </row>
    <row r="51" spans="1:35" ht="13.5" customHeight="1">
      <c r="A51" s="2"/>
      <c r="B51" s="2"/>
      <c r="C51" s="12"/>
      <c r="D51" s="13"/>
      <c r="E51" s="14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/>
      <c r="AI51" s="5"/>
    </row>
    <row r="52" spans="1:35" ht="13.5" customHeight="1">
      <c r="A52" s="2"/>
      <c r="B52" s="2"/>
      <c r="C52" s="12"/>
      <c r="D52" s="13"/>
      <c r="E52" s="14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/>
    </row>
    <row r="53" spans="1:35" ht="13.5" customHeight="1">
      <c r="A53" s="2"/>
      <c r="B53" s="2"/>
      <c r="C53" s="12"/>
      <c r="D53" s="13"/>
      <c r="E53" s="14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</row>
    <row r="54" spans="1:35" ht="13.5" customHeight="1">
      <c r="A54" s="2"/>
      <c r="B54" s="2"/>
      <c r="C54" s="12"/>
      <c r="D54" s="13"/>
      <c r="E54" s="14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  <c r="AB54" s="5"/>
      <c r="AC54" s="5"/>
      <c r="AD54" s="5"/>
      <c r="AE54" s="5"/>
      <c r="AF54" s="5"/>
      <c r="AG54" s="5"/>
      <c r="AH54" s="5"/>
      <c r="AI54" s="5"/>
    </row>
    <row r="55" spans="1:35" ht="13.5" customHeight="1">
      <c r="A55" s="2"/>
      <c r="B55" s="2"/>
      <c r="C55" s="12"/>
      <c r="D55" s="13"/>
      <c r="E55" s="14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5"/>
      <c r="R55" s="5"/>
      <c r="S55" s="5"/>
      <c r="T55" s="5"/>
      <c r="U55" s="5"/>
      <c r="V55" s="5"/>
      <c r="W55" s="5"/>
      <c r="X55" s="5"/>
      <c r="Y55" s="5"/>
      <c r="Z55" s="5"/>
      <c r="AA55" s="5"/>
      <c r="AB55" s="5"/>
      <c r="AC55" s="5"/>
      <c r="AD55" s="5"/>
      <c r="AE55" s="5"/>
      <c r="AF55" s="5"/>
      <c r="AG55" s="5"/>
      <c r="AH55" s="5"/>
      <c r="AI55" s="5"/>
    </row>
    <row r="56" spans="1:35" ht="13.5" customHeight="1">
      <c r="A56" s="2"/>
      <c r="B56" s="2"/>
      <c r="C56" s="12"/>
      <c r="D56" s="13"/>
      <c r="E56" s="14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  <c r="AB56" s="5"/>
      <c r="AC56" s="5"/>
      <c r="AD56" s="5"/>
      <c r="AE56" s="5"/>
      <c r="AF56" s="5"/>
      <c r="AG56" s="5"/>
      <c r="AH56" s="5"/>
      <c r="AI56" s="5"/>
    </row>
    <row r="57" spans="1:35" ht="13.5" customHeight="1">
      <c r="A57" s="2"/>
      <c r="B57" s="2"/>
      <c r="C57" s="12"/>
      <c r="D57" s="13"/>
      <c r="E57" s="14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/>
      <c r="AH57" s="5"/>
      <c r="AI57" s="5"/>
    </row>
    <row r="58" spans="1:35" ht="13.5" customHeight="1">
      <c r="A58" s="2"/>
      <c r="B58" s="2"/>
      <c r="C58" s="12"/>
      <c r="D58" s="13"/>
      <c r="E58" s="14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/>
      <c r="AD58" s="5"/>
      <c r="AE58" s="5"/>
      <c r="AF58" s="5"/>
      <c r="AG58" s="5"/>
      <c r="AH58" s="5"/>
      <c r="AI58" s="5"/>
    </row>
    <row r="59" spans="1:35" ht="13.5" customHeight="1">
      <c r="A59" s="2"/>
      <c r="B59" s="2"/>
      <c r="C59" s="12"/>
      <c r="D59" s="13"/>
      <c r="E59" s="14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5"/>
      <c r="R59" s="5"/>
      <c r="S59" s="5"/>
      <c r="T59" s="5"/>
      <c r="U59" s="5"/>
      <c r="V59" s="5"/>
      <c r="W59" s="5"/>
      <c r="X59" s="5"/>
      <c r="Y59" s="5"/>
      <c r="Z59" s="5"/>
      <c r="AA59" s="5"/>
      <c r="AB59" s="5"/>
      <c r="AC59" s="5"/>
      <c r="AD59" s="5"/>
      <c r="AE59" s="5"/>
      <c r="AF59" s="5"/>
      <c r="AG59" s="5"/>
      <c r="AH59" s="5"/>
      <c r="AI59" s="5"/>
    </row>
    <row r="60" spans="1:35" ht="13.5" customHeight="1">
      <c r="A60" s="2"/>
      <c r="B60" s="2"/>
      <c r="C60" s="12"/>
      <c r="D60" s="13"/>
      <c r="E60" s="14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  <c r="AB60" s="5"/>
      <c r="AC60" s="5"/>
      <c r="AD60" s="5"/>
      <c r="AE60" s="5"/>
      <c r="AF60" s="5"/>
      <c r="AG60" s="5"/>
      <c r="AH60" s="5"/>
      <c r="AI60" s="5"/>
    </row>
    <row r="61" spans="1:35" ht="13.5" customHeight="1">
      <c r="A61" s="2"/>
      <c r="B61" s="2"/>
      <c r="C61" s="12"/>
      <c r="D61" s="13"/>
      <c r="E61" s="14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/>
      <c r="AD61" s="5"/>
      <c r="AE61" s="5"/>
      <c r="AF61" s="5"/>
      <c r="AG61" s="5"/>
      <c r="AH61" s="5"/>
      <c r="AI61" s="5"/>
    </row>
    <row r="62" spans="1:35" ht="13.5" customHeight="1">
      <c r="A62" s="2"/>
      <c r="B62" s="2"/>
      <c r="C62" s="12"/>
      <c r="D62" s="13"/>
      <c r="E62" s="14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  <c r="AC62" s="5"/>
      <c r="AD62" s="5"/>
      <c r="AE62" s="5"/>
      <c r="AF62" s="5"/>
      <c r="AG62" s="5"/>
      <c r="AH62" s="5"/>
      <c r="AI62" s="5"/>
    </row>
    <row r="63" spans="1:35" ht="13.5" customHeight="1">
      <c r="A63" s="2"/>
      <c r="B63" s="2"/>
      <c r="C63" s="12"/>
      <c r="D63" s="13"/>
      <c r="E63" s="14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  <c r="AH63" s="5"/>
      <c r="AI63" s="5"/>
    </row>
    <row r="64" spans="1:35" ht="13.5" customHeight="1">
      <c r="A64" s="2"/>
      <c r="B64" s="2"/>
      <c r="C64" s="12"/>
      <c r="D64" s="13"/>
      <c r="E64" s="14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5"/>
      <c r="R64" s="5"/>
      <c r="S64" s="5"/>
      <c r="T64" s="5"/>
      <c r="U64" s="5"/>
      <c r="V64" s="5"/>
      <c r="W64" s="5"/>
      <c r="X64" s="5"/>
      <c r="Y64" s="5"/>
      <c r="Z64" s="5"/>
      <c r="AA64" s="5"/>
      <c r="AB64" s="5"/>
      <c r="AC64" s="5"/>
      <c r="AD64" s="5"/>
      <c r="AE64" s="5"/>
      <c r="AF64" s="5"/>
      <c r="AG64" s="5"/>
      <c r="AH64" s="5"/>
      <c r="AI64" s="5"/>
    </row>
    <row r="65" spans="1:35" ht="13.5" customHeight="1">
      <c r="A65" s="2"/>
      <c r="B65" s="2"/>
      <c r="C65" s="12"/>
      <c r="D65" s="13"/>
      <c r="E65" s="14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  <c r="AB65" s="5"/>
      <c r="AC65" s="5"/>
      <c r="AD65" s="5"/>
      <c r="AE65" s="5"/>
      <c r="AF65" s="5"/>
      <c r="AG65" s="5"/>
      <c r="AH65" s="5"/>
      <c r="AI65" s="5"/>
    </row>
  </sheetData>
  <autoFilter ref="N1:N44"/>
  <mergeCells count="18">
    <mergeCell ref="A6:C6"/>
    <mergeCell ref="N46:P46"/>
    <mergeCell ref="K4:K5"/>
    <mergeCell ref="L4:L5"/>
    <mergeCell ref="M4:M5"/>
    <mergeCell ref="N4:N5"/>
    <mergeCell ref="O4:O5"/>
    <mergeCell ref="P4:P5"/>
    <mergeCell ref="A1:P1"/>
    <mergeCell ref="D3:E3"/>
    <mergeCell ref="A4:A5"/>
    <mergeCell ref="B4:B5"/>
    <mergeCell ref="C4:C5"/>
    <mergeCell ref="D4:E4"/>
    <mergeCell ref="G4:G5"/>
    <mergeCell ref="H4:H5"/>
    <mergeCell ref="I4:I5"/>
    <mergeCell ref="J4:J5"/>
  </mergeCells>
  <printOptions horizontalCentered="1" verticalCentered="1"/>
  <pageMargins left="0.57999999999999996" right="0.78" top="0.27" bottom="0.27" header="0.24" footer="0"/>
  <pageSetup paperSize="9" scale="38" orientation="landscape" r:id="rId1"/>
  <rowBreaks count="1" manualBreakCount="1">
    <brk id="37" max="15" man="1"/>
  </rowBreak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6</vt:i4>
      </vt:variant>
    </vt:vector>
  </HeadingPairs>
  <TitlesOfParts>
    <vt:vector size="8" baseType="lpstr">
      <vt:lpstr>BATCH-1</vt:lpstr>
      <vt:lpstr>BATCH-2</vt:lpstr>
      <vt:lpstr>'BATCH-1'!_FilterDatabase_1</vt:lpstr>
      <vt:lpstr>'BATCH-2'!_FilterDatabase_1</vt:lpstr>
      <vt:lpstr>'BATCH-1'!Print_Area</vt:lpstr>
      <vt:lpstr>'BATCH-2'!Print_Area</vt:lpstr>
      <vt:lpstr>'BATCH-1'!Print_Titles</vt:lpstr>
      <vt:lpstr>'BATCH-2'!Print_Titles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faulty</cp:lastModifiedBy>
  <cp:lastPrinted>2025-01-07T04:49:41Z</cp:lastPrinted>
  <dcterms:created xsi:type="dcterms:W3CDTF">2022-01-11T09:45:22Z</dcterms:created>
  <dcterms:modified xsi:type="dcterms:W3CDTF">2025-07-08T06:10:25Z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09F6E99C4BE047B0A1974030ACEA21B8</vt:lpwstr>
  </property>
  <property fmtid="{D5CDD505-2E9C-101B-9397-08002B2CF9AE}" pid="3" name="KSOProductBuildVer">
    <vt:lpwstr>1033-11.2.0.11380</vt:lpwstr>
  </property>
</Properties>
</file>