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5015" windowHeight="7365" activeTab="1"/>
  </bookViews>
  <sheets>
    <sheet name="BATCH-1" sheetId="1" r:id="rId1"/>
    <sheet name="BATCH-2" sheetId="2" r:id="rId2"/>
  </sheets>
  <definedNames>
    <definedName name="_xlnm._FilterDatabase" localSheetId="0" hidden="1">'BATCH-1'!$N$1:$N$45</definedName>
    <definedName name="_xlnm._FilterDatabase" localSheetId="1" hidden="1">'BATCH-2'!$N$1:$N$44</definedName>
    <definedName name="_FilterDatabase_1" localSheetId="0">'BATCH-1'!$G$1:$G$45</definedName>
    <definedName name="_FilterDatabase_1" localSheetId="1">'BATCH-2'!$G$1:$G$44</definedName>
    <definedName name="_FilterDatabase_1">#REF!</definedName>
  </definedNames>
  <calcPr calcId="124519"/>
</workbook>
</file>

<file path=xl/calcChain.xml><?xml version="1.0" encoding="utf-8"?>
<calcChain xmlns="http://schemas.openxmlformats.org/spreadsheetml/2006/main">
  <c r="M44" i="2"/>
  <c r="L44"/>
  <c r="N44" s="1"/>
  <c r="G44"/>
  <c r="H44" s="1"/>
  <c r="F44"/>
  <c r="N43"/>
  <c r="L43"/>
  <c r="F43"/>
  <c r="L42"/>
  <c r="N42" s="1"/>
  <c r="G42"/>
  <c r="H42" s="1"/>
  <c r="F42"/>
  <c r="N41"/>
  <c r="L41"/>
  <c r="F41"/>
  <c r="G41" s="1"/>
  <c r="L40"/>
  <c r="N40" s="1"/>
  <c r="G40"/>
  <c r="H40" s="1"/>
  <c r="F40"/>
  <c r="N39"/>
  <c r="L39"/>
  <c r="F39"/>
  <c r="G39" s="1"/>
  <c r="L38"/>
  <c r="N38" s="1"/>
  <c r="G38"/>
  <c r="H38" s="1"/>
  <c r="F38"/>
  <c r="N37"/>
  <c r="L37"/>
  <c r="F37"/>
  <c r="G37" s="1"/>
  <c r="L36"/>
  <c r="N36" s="1"/>
  <c r="G36"/>
  <c r="H36" s="1"/>
  <c r="F36"/>
  <c r="N35"/>
  <c r="L35"/>
  <c r="F35"/>
  <c r="G35" s="1"/>
  <c r="L34"/>
  <c r="N34" s="1"/>
  <c r="G34"/>
  <c r="H34" s="1"/>
  <c r="F34"/>
  <c r="N33"/>
  <c r="L33"/>
  <c r="F33"/>
  <c r="G33" s="1"/>
  <c r="L32"/>
  <c r="N32" s="1"/>
  <c r="G32"/>
  <c r="H32" s="1"/>
  <c r="F32"/>
  <c r="N31"/>
  <c r="L31"/>
  <c r="F31"/>
  <c r="G31" s="1"/>
  <c r="L30"/>
  <c r="N30" s="1"/>
  <c r="G30"/>
  <c r="H30" s="1"/>
  <c r="F30"/>
  <c r="N29"/>
  <c r="L29"/>
  <c r="F29"/>
  <c r="G29" s="1"/>
  <c r="L28"/>
  <c r="N28" s="1"/>
  <c r="G28"/>
  <c r="H28" s="1"/>
  <c r="F28"/>
  <c r="N27"/>
  <c r="L27"/>
  <c r="F27"/>
  <c r="G27" s="1"/>
  <c r="L26"/>
  <c r="N26" s="1"/>
  <c r="G26"/>
  <c r="H26" s="1"/>
  <c r="F26"/>
  <c r="N25"/>
  <c r="L25"/>
  <c r="F25"/>
  <c r="G25" s="1"/>
  <c r="L24"/>
  <c r="N24" s="1"/>
  <c r="G24"/>
  <c r="H24" s="1"/>
  <c r="F24"/>
  <c r="N23"/>
  <c r="L23"/>
  <c r="F23"/>
  <c r="G23" s="1"/>
  <c r="L22"/>
  <c r="N22" s="1"/>
  <c r="G22"/>
  <c r="H22" s="1"/>
  <c r="F22"/>
  <c r="N21"/>
  <c r="L21"/>
  <c r="F21"/>
  <c r="G21" s="1"/>
  <c r="L20"/>
  <c r="N20" s="1"/>
  <c r="G20"/>
  <c r="H20" s="1"/>
  <c r="F20"/>
  <c r="N19"/>
  <c r="L19"/>
  <c r="F19"/>
  <c r="G19" s="1"/>
  <c r="L18"/>
  <c r="N18" s="1"/>
  <c r="G18"/>
  <c r="H18" s="1"/>
  <c r="F18"/>
  <c r="N17"/>
  <c r="L17"/>
  <c r="F17"/>
  <c r="G17" s="1"/>
  <c r="L16"/>
  <c r="N16" s="1"/>
  <c r="G16"/>
  <c r="H16" s="1"/>
  <c r="F16"/>
  <c r="N15"/>
  <c r="L15"/>
  <c r="F15"/>
  <c r="G15" s="1"/>
  <c r="L14"/>
  <c r="N14" s="1"/>
  <c r="G14"/>
  <c r="H14" s="1"/>
  <c r="F14"/>
  <c r="N13"/>
  <c r="L13"/>
  <c r="F13"/>
  <c r="G13" s="1"/>
  <c r="L12"/>
  <c r="N12" s="1"/>
  <c r="G12"/>
  <c r="H12" s="1"/>
  <c r="F12"/>
  <c r="N11"/>
  <c r="L11"/>
  <c r="F11"/>
  <c r="G11" s="1"/>
  <c r="L10"/>
  <c r="N10" s="1"/>
  <c r="G10"/>
  <c r="H10" s="1"/>
  <c r="F10"/>
  <c r="N9"/>
  <c r="L9"/>
  <c r="F9"/>
  <c r="G9" s="1"/>
  <c r="L8"/>
  <c r="N8" s="1"/>
  <c r="G8"/>
  <c r="H8" s="1"/>
  <c r="F8"/>
  <c r="N7"/>
  <c r="L7"/>
  <c r="F7"/>
  <c r="G7" s="1"/>
  <c r="Q6"/>
  <c r="L6"/>
  <c r="F6"/>
  <c r="G43" s="1"/>
  <c r="L45" i="1"/>
  <c r="N45" s="1"/>
  <c r="G45"/>
  <c r="H45" s="1"/>
  <c r="F45"/>
  <c r="N44"/>
  <c r="L44"/>
  <c r="F44"/>
  <c r="G44" s="1"/>
  <c r="L43"/>
  <c r="N43" s="1"/>
  <c r="G43"/>
  <c r="H43" s="1"/>
  <c r="F43"/>
  <c r="N42"/>
  <c r="L42"/>
  <c r="F42"/>
  <c r="G42" s="1"/>
  <c r="L41"/>
  <c r="N41" s="1"/>
  <c r="G41"/>
  <c r="H41" s="1"/>
  <c r="F41"/>
  <c r="N40"/>
  <c r="L40"/>
  <c r="F40"/>
  <c r="G40" s="1"/>
  <c r="L39"/>
  <c r="N39" s="1"/>
  <c r="G39"/>
  <c r="H39" s="1"/>
  <c r="F39"/>
  <c r="N38"/>
  <c r="L38"/>
  <c r="F38"/>
  <c r="G38" s="1"/>
  <c r="L37"/>
  <c r="N37" s="1"/>
  <c r="G37"/>
  <c r="H37" s="1"/>
  <c r="F37"/>
  <c r="N36"/>
  <c r="L36"/>
  <c r="F36"/>
  <c r="G36" s="1"/>
  <c r="L35"/>
  <c r="N35" s="1"/>
  <c r="G35"/>
  <c r="H35" s="1"/>
  <c r="F35"/>
  <c r="N34"/>
  <c r="L34"/>
  <c r="F34"/>
  <c r="G34" s="1"/>
  <c r="L33"/>
  <c r="N33" s="1"/>
  <c r="G33"/>
  <c r="H33" s="1"/>
  <c r="F33"/>
  <c r="N32"/>
  <c r="L32"/>
  <c r="F32"/>
  <c r="G32" s="1"/>
  <c r="L31"/>
  <c r="N31" s="1"/>
  <c r="G31"/>
  <c r="H31" s="1"/>
  <c r="F31"/>
  <c r="N30"/>
  <c r="L30"/>
  <c r="F30"/>
  <c r="G30" s="1"/>
  <c r="L29"/>
  <c r="N29" s="1"/>
  <c r="G29"/>
  <c r="H29" s="1"/>
  <c r="F29"/>
  <c r="N28"/>
  <c r="L28"/>
  <c r="F28"/>
  <c r="G28" s="1"/>
  <c r="L27"/>
  <c r="N27" s="1"/>
  <c r="G27"/>
  <c r="H27" s="1"/>
  <c r="F27"/>
  <c r="N26"/>
  <c r="L26"/>
  <c r="F26"/>
  <c r="G26" s="1"/>
  <c r="L25"/>
  <c r="N25" s="1"/>
  <c r="G25"/>
  <c r="H25" s="1"/>
  <c r="F25"/>
  <c r="N24"/>
  <c r="L24"/>
  <c r="F24"/>
  <c r="G24" s="1"/>
  <c r="L23"/>
  <c r="N23" s="1"/>
  <c r="G23"/>
  <c r="H23" s="1"/>
  <c r="F23"/>
  <c r="N22"/>
  <c r="L22"/>
  <c r="F22"/>
  <c r="G22" s="1"/>
  <c r="L21"/>
  <c r="N21" s="1"/>
  <c r="G21"/>
  <c r="H21" s="1"/>
  <c r="F21"/>
  <c r="N20"/>
  <c r="L20"/>
  <c r="F20"/>
  <c r="G20" s="1"/>
  <c r="L19"/>
  <c r="N19" s="1"/>
  <c r="G19"/>
  <c r="H19" s="1"/>
  <c r="F19"/>
  <c r="N18"/>
  <c r="L18"/>
  <c r="F18"/>
  <c r="G18" s="1"/>
  <c r="L17"/>
  <c r="N17" s="1"/>
  <c r="G17"/>
  <c r="H17" s="1"/>
  <c r="F17"/>
  <c r="N16"/>
  <c r="L16"/>
  <c r="F16"/>
  <c r="G16" s="1"/>
  <c r="L15"/>
  <c r="N15" s="1"/>
  <c r="G15"/>
  <c r="H15" s="1"/>
  <c r="F15"/>
  <c r="N14"/>
  <c r="L14"/>
  <c r="F14"/>
  <c r="G14" s="1"/>
  <c r="L13"/>
  <c r="N13" s="1"/>
  <c r="G13"/>
  <c r="H13" s="1"/>
  <c r="F13"/>
  <c r="N12"/>
  <c r="L12"/>
  <c r="F12"/>
  <c r="G12" s="1"/>
  <c r="L11"/>
  <c r="N11" s="1"/>
  <c r="G11"/>
  <c r="H11" s="1"/>
  <c r="F11"/>
  <c r="N10"/>
  <c r="L10"/>
  <c r="F10"/>
  <c r="G10" s="1"/>
  <c r="L9"/>
  <c r="N9" s="1"/>
  <c r="G9"/>
  <c r="H9" s="1"/>
  <c r="F9"/>
  <c r="N8"/>
  <c r="L8"/>
  <c r="F8"/>
  <c r="G8" s="1"/>
  <c r="L7"/>
  <c r="N7" s="1"/>
  <c r="G7"/>
  <c r="H7" s="1"/>
  <c r="F7"/>
  <c r="Q6"/>
  <c r="L6"/>
  <c r="G6"/>
  <c r="F6"/>
  <c r="M9" i="2" l="1"/>
  <c r="H9"/>
  <c r="I10"/>
  <c r="M13"/>
  <c r="H13"/>
  <c r="I14"/>
  <c r="M17"/>
  <c r="H17"/>
  <c r="I18"/>
  <c r="M21"/>
  <c r="H21"/>
  <c r="I22"/>
  <c r="M25"/>
  <c r="H25"/>
  <c r="I26"/>
  <c r="M29"/>
  <c r="H29"/>
  <c r="I30"/>
  <c r="M33"/>
  <c r="H33"/>
  <c r="I34"/>
  <c r="M37"/>
  <c r="H37"/>
  <c r="I38"/>
  <c r="M41"/>
  <c r="H41"/>
  <c r="I42"/>
  <c r="I7" i="1"/>
  <c r="M10"/>
  <c r="H10"/>
  <c r="I11"/>
  <c r="M14"/>
  <c r="H14"/>
  <c r="I15"/>
  <c r="M18"/>
  <c r="H18"/>
  <c r="I19"/>
  <c r="M22"/>
  <c r="H22"/>
  <c r="I23"/>
  <c r="M26"/>
  <c r="H26"/>
  <c r="I27"/>
  <c r="M30"/>
  <c r="H30"/>
  <c r="I31"/>
  <c r="M34"/>
  <c r="H34"/>
  <c r="I35"/>
  <c r="M38"/>
  <c r="H38"/>
  <c r="I39"/>
  <c r="M42"/>
  <c r="H42"/>
  <c r="I43"/>
  <c r="M43" i="2"/>
  <c r="H43"/>
  <c r="M7"/>
  <c r="H7"/>
  <c r="I8"/>
  <c r="M11"/>
  <c r="H11"/>
  <c r="O12"/>
  <c r="Q12" s="1"/>
  <c r="I12"/>
  <c r="P12" s="1"/>
  <c r="M15"/>
  <c r="H15"/>
  <c r="I16"/>
  <c r="M19"/>
  <c r="H19"/>
  <c r="O20"/>
  <c r="Q20" s="1"/>
  <c r="I20"/>
  <c r="P20" s="1"/>
  <c r="M23"/>
  <c r="H23"/>
  <c r="I24"/>
  <c r="M27"/>
  <c r="H27"/>
  <c r="O28"/>
  <c r="Q28" s="1"/>
  <c r="I28"/>
  <c r="P28" s="1"/>
  <c r="M31"/>
  <c r="H31"/>
  <c r="I32"/>
  <c r="M35"/>
  <c r="H35"/>
  <c r="I36"/>
  <c r="M39"/>
  <c r="H39"/>
  <c r="I40"/>
  <c r="O44"/>
  <c r="Q44" s="1"/>
  <c r="I44"/>
  <c r="P44" s="1"/>
  <c r="M8" i="1"/>
  <c r="H8"/>
  <c r="O9"/>
  <c r="Q9" s="1"/>
  <c r="I9"/>
  <c r="M12"/>
  <c r="H12"/>
  <c r="I13"/>
  <c r="M16"/>
  <c r="H16"/>
  <c r="O17"/>
  <c r="Q17" s="1"/>
  <c r="I17"/>
  <c r="M20"/>
  <c r="H20"/>
  <c r="I21"/>
  <c r="M24"/>
  <c r="H24"/>
  <c r="O25"/>
  <c r="Q25" s="1"/>
  <c r="I25"/>
  <c r="M28"/>
  <c r="H28"/>
  <c r="I29"/>
  <c r="M32"/>
  <c r="H32"/>
  <c r="O33"/>
  <c r="Q33" s="1"/>
  <c r="I33"/>
  <c r="M36"/>
  <c r="H36"/>
  <c r="I37"/>
  <c r="M40"/>
  <c r="H40"/>
  <c r="O41"/>
  <c r="Q41" s="1"/>
  <c r="I41"/>
  <c r="M44"/>
  <c r="H44"/>
  <c r="I45"/>
  <c r="M7"/>
  <c r="O7" s="1"/>
  <c r="Q7" s="1"/>
  <c r="M9"/>
  <c r="M11"/>
  <c r="O11" s="1"/>
  <c r="Q11" s="1"/>
  <c r="M13"/>
  <c r="O13" s="1"/>
  <c r="Q13" s="1"/>
  <c r="M15"/>
  <c r="O15" s="1"/>
  <c r="Q15" s="1"/>
  <c r="M17"/>
  <c r="M19"/>
  <c r="O19" s="1"/>
  <c r="Q19" s="1"/>
  <c r="M21"/>
  <c r="O21" s="1"/>
  <c r="Q21" s="1"/>
  <c r="M23"/>
  <c r="O23" s="1"/>
  <c r="Q23" s="1"/>
  <c r="M25"/>
  <c r="M27"/>
  <c r="O27" s="1"/>
  <c r="Q27" s="1"/>
  <c r="M29"/>
  <c r="O29" s="1"/>
  <c r="Q29" s="1"/>
  <c r="M31"/>
  <c r="O31" s="1"/>
  <c r="Q31" s="1"/>
  <c r="M33"/>
  <c r="M35"/>
  <c r="O35" s="1"/>
  <c r="Q35" s="1"/>
  <c r="M37"/>
  <c r="O37" s="1"/>
  <c r="Q37" s="1"/>
  <c r="M39"/>
  <c r="O39" s="1"/>
  <c r="Q39" s="1"/>
  <c r="M41"/>
  <c r="M43"/>
  <c r="O43" s="1"/>
  <c r="Q43" s="1"/>
  <c r="M45"/>
  <c r="O45" s="1"/>
  <c r="Q45" s="1"/>
  <c r="M8" i="2"/>
  <c r="O8" s="1"/>
  <c r="Q8" s="1"/>
  <c r="M10"/>
  <c r="O10" s="1"/>
  <c r="Q10" s="1"/>
  <c r="M12"/>
  <c r="M14"/>
  <c r="O14" s="1"/>
  <c r="Q14" s="1"/>
  <c r="M16"/>
  <c r="O16" s="1"/>
  <c r="Q16" s="1"/>
  <c r="M18"/>
  <c r="O18" s="1"/>
  <c r="Q18" s="1"/>
  <c r="M20"/>
  <c r="M22"/>
  <c r="O22" s="1"/>
  <c r="Q22" s="1"/>
  <c r="M24"/>
  <c r="O24" s="1"/>
  <c r="Q24" s="1"/>
  <c r="M26"/>
  <c r="O26" s="1"/>
  <c r="Q26" s="1"/>
  <c r="M28"/>
  <c r="M30"/>
  <c r="O30" s="1"/>
  <c r="Q30" s="1"/>
  <c r="M32"/>
  <c r="O32" s="1"/>
  <c r="Q32" s="1"/>
  <c r="G6"/>
  <c r="M34"/>
  <c r="O34" s="1"/>
  <c r="Q34" s="1"/>
  <c r="M36"/>
  <c r="O36" s="1"/>
  <c r="Q36" s="1"/>
  <c r="M38"/>
  <c r="O38" s="1"/>
  <c r="Q38" s="1"/>
  <c r="M40"/>
  <c r="O40" s="1"/>
  <c r="Q40" s="1"/>
  <c r="M42"/>
  <c r="O42" s="1"/>
  <c r="Q42" s="1"/>
  <c r="O40" i="1" l="1"/>
  <c r="Q40" s="1"/>
  <c r="I40"/>
  <c r="P40" s="1"/>
  <c r="P45"/>
  <c r="P37"/>
  <c r="P29"/>
  <c r="P21"/>
  <c r="P13"/>
  <c r="P9"/>
  <c r="O44"/>
  <c r="Q44" s="1"/>
  <c r="I44"/>
  <c r="P44" s="1"/>
  <c r="O39" i="2"/>
  <c r="Q39" s="1"/>
  <c r="I39"/>
  <c r="P39" s="1"/>
  <c r="O35"/>
  <c r="Q35" s="1"/>
  <c r="I35"/>
  <c r="P35" s="1"/>
  <c r="O31"/>
  <c r="Q31" s="1"/>
  <c r="I31"/>
  <c r="P31" s="1"/>
  <c r="O27"/>
  <c r="Q27" s="1"/>
  <c r="I27"/>
  <c r="P27" s="1"/>
  <c r="O23"/>
  <c r="Q23" s="1"/>
  <c r="I23"/>
  <c r="P23" s="1"/>
  <c r="O19"/>
  <c r="Q19" s="1"/>
  <c r="I19"/>
  <c r="P19" s="1"/>
  <c r="O15"/>
  <c r="Q15" s="1"/>
  <c r="I15"/>
  <c r="P15" s="1"/>
  <c r="O11"/>
  <c r="Q11" s="1"/>
  <c r="I11"/>
  <c r="P11" s="1"/>
  <c r="O7"/>
  <c r="Q7" s="1"/>
  <c r="I7"/>
  <c r="P7" s="1"/>
  <c r="O41"/>
  <c r="Q41" s="1"/>
  <c r="I41"/>
  <c r="P41" s="1"/>
  <c r="O37"/>
  <c r="Q37" s="1"/>
  <c r="I37"/>
  <c r="P37" s="1"/>
  <c r="O33"/>
  <c r="Q33" s="1"/>
  <c r="I33"/>
  <c r="P33" s="1"/>
  <c r="O29"/>
  <c r="Q29" s="1"/>
  <c r="I29"/>
  <c r="P29" s="1"/>
  <c r="O25"/>
  <c r="Q25" s="1"/>
  <c r="I25"/>
  <c r="P25" s="1"/>
  <c r="O21"/>
  <c r="Q21" s="1"/>
  <c r="I21"/>
  <c r="P21" s="1"/>
  <c r="O17"/>
  <c r="Q17" s="1"/>
  <c r="I17"/>
  <c r="P17" s="1"/>
  <c r="O13"/>
  <c r="Q13" s="1"/>
  <c r="I13"/>
  <c r="P13" s="1"/>
  <c r="O9"/>
  <c r="Q9" s="1"/>
  <c r="I9"/>
  <c r="P9" s="1"/>
  <c r="P41" i="1"/>
  <c r="P33"/>
  <c r="P25"/>
  <c r="P17"/>
  <c r="P43"/>
  <c r="P39"/>
  <c r="P35"/>
  <c r="P31"/>
  <c r="P27"/>
  <c r="P23"/>
  <c r="P19"/>
  <c r="P15"/>
  <c r="P11"/>
  <c r="P7"/>
  <c r="O36"/>
  <c r="Q36" s="1"/>
  <c r="I36"/>
  <c r="P36" s="1"/>
  <c r="O32"/>
  <c r="Q32" s="1"/>
  <c r="I32"/>
  <c r="P32" s="1"/>
  <c r="O28"/>
  <c r="Q28" s="1"/>
  <c r="I28"/>
  <c r="P28" s="1"/>
  <c r="O24"/>
  <c r="Q24" s="1"/>
  <c r="I24"/>
  <c r="P24" s="1"/>
  <c r="O20"/>
  <c r="Q20" s="1"/>
  <c r="I20"/>
  <c r="P20" s="1"/>
  <c r="O16"/>
  <c r="Q16" s="1"/>
  <c r="I16"/>
  <c r="P16" s="1"/>
  <c r="O12"/>
  <c r="Q12" s="1"/>
  <c r="I12"/>
  <c r="P12" s="1"/>
  <c r="O8"/>
  <c r="Q8" s="1"/>
  <c r="I8"/>
  <c r="P8" s="1"/>
  <c r="O43" i="2"/>
  <c r="Q43" s="1"/>
  <c r="I43"/>
  <c r="P43" s="1"/>
  <c r="O42" i="1"/>
  <c r="Q42" s="1"/>
  <c r="I42"/>
  <c r="P42" s="1"/>
  <c r="O38"/>
  <c r="Q38" s="1"/>
  <c r="I38"/>
  <c r="P38" s="1"/>
  <c r="O34"/>
  <c r="Q34" s="1"/>
  <c r="I34"/>
  <c r="P34" s="1"/>
  <c r="O30"/>
  <c r="Q30" s="1"/>
  <c r="I30"/>
  <c r="P30" s="1"/>
  <c r="O26"/>
  <c r="Q26" s="1"/>
  <c r="I26"/>
  <c r="P26" s="1"/>
  <c r="O22"/>
  <c r="Q22" s="1"/>
  <c r="I22"/>
  <c r="P22" s="1"/>
  <c r="O18"/>
  <c r="Q18" s="1"/>
  <c r="I18"/>
  <c r="P18" s="1"/>
  <c r="O14"/>
  <c r="Q14" s="1"/>
  <c r="I14"/>
  <c r="P14" s="1"/>
  <c r="O10"/>
  <c r="Q10" s="1"/>
  <c r="I10"/>
  <c r="P10" s="1"/>
  <c r="P40" i="2"/>
  <c r="P36"/>
  <c r="P32"/>
  <c r="P24"/>
  <c r="P16"/>
  <c r="P8"/>
  <c r="P42"/>
  <c r="P38"/>
  <c r="P34"/>
  <c r="P30"/>
  <c r="P26"/>
  <c r="P22"/>
  <c r="P18"/>
  <c r="P14"/>
  <c r="P10"/>
</calcChain>
</file>

<file path=xl/sharedStrings.xml><?xml version="1.0" encoding="utf-8"?>
<sst xmlns="http://schemas.openxmlformats.org/spreadsheetml/2006/main" count="287" uniqueCount="258">
  <si>
    <t xml:space="preserve">Lakshmi Narain College of Technology &amp; Science, BHOPAL
     Sessional Sheet
                    Branch : CSE-CY                               Sem :  IV                                  Section : A
           Subject &amp; Sub. Code :Fundamental of cy Security CY-402    Month &amp; Year :  JAN-JUNE  2025                   Sheet : 1                                                               </t>
  </si>
  <si>
    <t>Mid Sem</t>
  </si>
  <si>
    <t>Theory slot</t>
  </si>
  <si>
    <t>Practical Slot</t>
  </si>
  <si>
    <t>10 (8)</t>
  </si>
  <si>
    <t>11(4+9)</t>
  </si>
  <si>
    <t>12(5+9)</t>
  </si>
  <si>
    <t>S. No.</t>
  </si>
  <si>
    <t>Enrollment No.</t>
  </si>
  <si>
    <t>Name of Student</t>
  </si>
  <si>
    <t>Classes Attended</t>
  </si>
  <si>
    <t>Att. %</t>
  </si>
  <si>
    <t xml:space="preserve">Att. Marks 
</t>
  </si>
  <si>
    <t>Mid sem - I Marks</t>
  </si>
  <si>
    <t>Mid sem - II Marks</t>
  </si>
  <si>
    <t>Best of Two out of 20</t>
  </si>
  <si>
    <t>Teacher's Marks</t>
  </si>
  <si>
    <t>Theory slot (20)</t>
  </si>
  <si>
    <t>Th. Quiz/ Assign. Marks (10) 
10</t>
  </si>
  <si>
    <t>Pr. Lab work &amp; Sessional marks (20)</t>
  </si>
  <si>
    <t xml:space="preserve">Th </t>
  </si>
  <si>
    <t>Pr</t>
  </si>
  <si>
    <t>Total</t>
  </si>
  <si>
    <t>Out of</t>
  </si>
  <si>
    <t>001</t>
  </si>
  <si>
    <t>0157CY231001</t>
  </si>
  <si>
    <t>Aaryan Vishwakarma</t>
  </si>
  <si>
    <t>002</t>
  </si>
  <si>
    <t>0157CY231002</t>
  </si>
  <si>
    <t>Abhay Shukla</t>
  </si>
  <si>
    <t>003</t>
  </si>
  <si>
    <t>0157CY231003</t>
  </si>
  <si>
    <t>Abhikrati Ghagre</t>
  </si>
  <si>
    <t>004</t>
  </si>
  <si>
    <t>0157CY231004</t>
  </si>
  <si>
    <t>Abhishek Mewada</t>
  </si>
  <si>
    <t>005</t>
  </si>
  <si>
    <t>0157CY231005</t>
  </si>
  <si>
    <t>Abhishi Parmar</t>
  </si>
  <si>
    <t>006</t>
  </si>
  <si>
    <t>0157CY231006</t>
  </si>
  <si>
    <t>Aditya Sharma</t>
  </si>
  <si>
    <t>007</t>
  </si>
  <si>
    <t>0157CY231007</t>
  </si>
  <si>
    <t>Aditya Singh</t>
  </si>
  <si>
    <t>008</t>
  </si>
  <si>
    <t>0157CY231008</t>
  </si>
  <si>
    <t>009</t>
  </si>
  <si>
    <t>0157CY231009</t>
  </si>
  <si>
    <t>Adityaraj Soni</t>
  </si>
  <si>
    <t>010</t>
  </si>
  <si>
    <t>0157CY231010</t>
  </si>
  <si>
    <t>Ajaypal Singh Bikawat</t>
  </si>
  <si>
    <t>011</t>
  </si>
  <si>
    <t>0157CY231011</t>
  </si>
  <si>
    <t>Akhilesh Sharma</t>
  </si>
  <si>
    <t>012</t>
  </si>
  <si>
    <t>0157CY231012</t>
  </si>
  <si>
    <t>Akshat Lakhera</t>
  </si>
  <si>
    <t>013</t>
  </si>
  <si>
    <t>0157CY231013</t>
  </si>
  <si>
    <t>Akshat Tahalani</t>
  </si>
  <si>
    <t>014</t>
  </si>
  <si>
    <t>0157CY231014</t>
  </si>
  <si>
    <t>Akshaya Nahar</t>
  </si>
  <si>
    <t>015</t>
  </si>
  <si>
    <t>0157CY231016</t>
  </si>
  <si>
    <t>Amaan Ali Ahmed</t>
  </si>
  <si>
    <t>016</t>
  </si>
  <si>
    <t>0157CY231017</t>
  </si>
  <si>
    <t>Anamika Vishwakarma</t>
  </si>
  <si>
    <t>017</t>
  </si>
  <si>
    <t>0157CY231018</t>
  </si>
  <si>
    <t>Ankesh Kumar</t>
  </si>
  <si>
    <t>018</t>
  </si>
  <si>
    <t>0157CY231019</t>
  </si>
  <si>
    <t>Ankit Raushan</t>
  </si>
  <si>
    <t>019</t>
  </si>
  <si>
    <t>0157CY231020</t>
  </si>
  <si>
    <t>Ansh Sharma</t>
  </si>
  <si>
    <t>020</t>
  </si>
  <si>
    <t>0157CY231021</t>
  </si>
  <si>
    <t>Anuj Devaliya</t>
  </si>
  <si>
    <t>021</t>
  </si>
  <si>
    <t>0157CY231022</t>
  </si>
  <si>
    <t>Anuj Yadav</t>
  </si>
  <si>
    <t>022</t>
  </si>
  <si>
    <t>0157CY231023</t>
  </si>
  <si>
    <t>Anushri Tiwari</t>
  </si>
  <si>
    <t>023</t>
  </si>
  <si>
    <t>0157CY231024</t>
  </si>
  <si>
    <t>Anushka Tonte</t>
  </si>
  <si>
    <t>024</t>
  </si>
  <si>
    <t>0157CY231025</t>
  </si>
  <si>
    <t>Arth Saxena</t>
  </si>
  <si>
    <t>025</t>
  </si>
  <si>
    <t>0157CY231026</t>
  </si>
  <si>
    <t>Aryan Kushwaha</t>
  </si>
  <si>
    <t>026</t>
  </si>
  <si>
    <t>0157CY231027</t>
  </si>
  <si>
    <t>Ashi Shrivastava</t>
  </si>
  <si>
    <t>027</t>
  </si>
  <si>
    <t>0157CY231028</t>
  </si>
  <si>
    <t>Ashish Khawse</t>
  </si>
  <si>
    <t>028</t>
  </si>
  <si>
    <t>0157CY231029</t>
  </si>
  <si>
    <t>Astik Narwariya</t>
  </si>
  <si>
    <t>029</t>
  </si>
  <si>
    <t>0157CY231030</t>
  </si>
  <si>
    <t>Aviral Jain</t>
  </si>
  <si>
    <t>030</t>
  </si>
  <si>
    <t>0157CY231031</t>
  </si>
  <si>
    <t>Avni Jain</t>
  </si>
  <si>
    <t>031</t>
  </si>
  <si>
    <t>0157CY231032</t>
  </si>
  <si>
    <t>Ayush Malviya</t>
  </si>
  <si>
    <t>032</t>
  </si>
  <si>
    <t>0157CY231033</t>
  </si>
  <si>
    <t>Ayush Raj</t>
  </si>
  <si>
    <t>033</t>
  </si>
  <si>
    <t>0157CY231034</t>
  </si>
  <si>
    <t>Ayushi Bagde</t>
  </si>
  <si>
    <t>034</t>
  </si>
  <si>
    <t>0157CY231035</t>
  </si>
  <si>
    <t>Bhoomi Patel</t>
  </si>
  <si>
    <t>035</t>
  </si>
  <si>
    <t>0157CY231036</t>
  </si>
  <si>
    <t>Bhoomika Bajpai</t>
  </si>
  <si>
    <t>036</t>
  </si>
  <si>
    <t>0157CY231037</t>
  </si>
  <si>
    <t>Brajesh Kumar Biswas</t>
  </si>
  <si>
    <t>037</t>
  </si>
  <si>
    <t>0157CY231038</t>
  </si>
  <si>
    <t>Chhavi Sen</t>
  </si>
  <si>
    <t>038</t>
  </si>
  <si>
    <t>0157CY231039</t>
  </si>
  <si>
    <t>Deepika Sahu</t>
  </si>
  <si>
    <t>039</t>
  </si>
  <si>
    <t>0157CY231040</t>
  </si>
  <si>
    <t>Devang Jain</t>
  </si>
  <si>
    <t xml:space="preserve">Teacher's Name: </t>
  </si>
  <si>
    <t>Vijendra Singh Palash</t>
  </si>
  <si>
    <t>HOD: Dr. Bhupesh Gour</t>
  </si>
  <si>
    <t xml:space="preserve">Lakshmi Narain College of Technology &amp; Science, BHOPAL
     Sessional Sheet
                    Branch : CSE-CY                                Sem :  IV                                  Section : A
           Subject &amp; Sub. Code :Fundamental of cy Security CY-402    Month &amp; Year :  JAN-JUNE 2025                   Sheet : 2                                                               </t>
  </si>
  <si>
    <t>040</t>
  </si>
  <si>
    <t>0157CY231041</t>
  </si>
  <si>
    <t>Dheeraj Pawar</t>
  </si>
  <si>
    <t>041</t>
  </si>
  <si>
    <t>0157CY231042</t>
  </si>
  <si>
    <t>Dimple Chaudhary</t>
  </si>
  <si>
    <t>042</t>
  </si>
  <si>
    <t>0157CY231043</t>
  </si>
  <si>
    <t>Gourav Soni</t>
  </si>
  <si>
    <t>043</t>
  </si>
  <si>
    <t>0157CY231044</t>
  </si>
  <si>
    <t>Harsh Bagwan</t>
  </si>
  <si>
    <t>044</t>
  </si>
  <si>
    <t>0157CY231045</t>
  </si>
  <si>
    <t>Harsh Rai</t>
  </si>
  <si>
    <t>045</t>
  </si>
  <si>
    <t>0157CY231046</t>
  </si>
  <si>
    <t>Harsh Varlani</t>
  </si>
  <si>
    <t>046</t>
  </si>
  <si>
    <t>0157CY231047</t>
  </si>
  <si>
    <t>Harshit Kumar</t>
  </si>
  <si>
    <t>047</t>
  </si>
  <si>
    <t>0157CY231048</t>
  </si>
  <si>
    <t>Himanshu Rathore</t>
  </si>
  <si>
    <t>048</t>
  </si>
  <si>
    <t>0157CY231049</t>
  </si>
  <si>
    <t>Hrick Kumar Jha</t>
  </si>
  <si>
    <t>049</t>
  </si>
  <si>
    <t>0157CY231050</t>
  </si>
  <si>
    <t>Ishita Jain</t>
  </si>
  <si>
    <t>050</t>
  </si>
  <si>
    <t>0157CY231051</t>
  </si>
  <si>
    <t>Ishra Khan</t>
  </si>
  <si>
    <t>051</t>
  </si>
  <si>
    <t>0157CY231052</t>
  </si>
  <si>
    <t>Janki Nandan</t>
  </si>
  <si>
    <t>052</t>
  </si>
  <si>
    <t>0157CY231053</t>
  </si>
  <si>
    <t>Jatin Nagayach</t>
  </si>
  <si>
    <t>053</t>
  </si>
  <si>
    <t>0157CY231054</t>
  </si>
  <si>
    <t>Kajal Chakrawarty</t>
  </si>
  <si>
    <t>054</t>
  </si>
  <si>
    <t>0157CY231055</t>
  </si>
  <si>
    <t>Kaushikee Singh Bhadauria</t>
  </si>
  <si>
    <t>055</t>
  </si>
  <si>
    <t>0157CY231056</t>
  </si>
  <si>
    <t>Krishna Gopal Lodhi</t>
  </si>
  <si>
    <t>056</t>
  </si>
  <si>
    <t>0157CY231057</t>
  </si>
  <si>
    <t>Kshitij Mishra</t>
  </si>
  <si>
    <t>057</t>
  </si>
  <si>
    <t>0157CY231058</t>
  </si>
  <si>
    <t>Lakshya Vardhan Gupta</t>
  </si>
  <si>
    <t>058</t>
  </si>
  <si>
    <t>0157CY231059</t>
  </si>
  <si>
    <t>Mahi Malvi</t>
  </si>
  <si>
    <t>059</t>
  </si>
  <si>
    <t>0157CY231060</t>
  </si>
  <si>
    <t>Mahi Soni</t>
  </si>
  <si>
    <t>060</t>
  </si>
  <si>
    <t>0157CY231061</t>
  </si>
  <si>
    <t>Manish Kumar</t>
  </si>
  <si>
    <t>061</t>
  </si>
  <si>
    <t>0157CY231062</t>
  </si>
  <si>
    <t>Manshi Yogi</t>
  </si>
  <si>
    <t>062</t>
  </si>
  <si>
    <t>0157CY231063</t>
  </si>
  <si>
    <t>Manya Jain</t>
  </si>
  <si>
    <t>063</t>
  </si>
  <si>
    <t>0157CY231064</t>
  </si>
  <si>
    <t>Mihika Sharma</t>
  </si>
  <si>
    <t>064</t>
  </si>
  <si>
    <t>0157CY231065</t>
  </si>
  <si>
    <t>Milan Kadve</t>
  </si>
  <si>
    <t>065</t>
  </si>
  <si>
    <t>0157CY231066</t>
  </si>
  <si>
    <t>Mohika Chourey</t>
  </si>
  <si>
    <t>066</t>
  </si>
  <si>
    <t>0157CY231067</t>
  </si>
  <si>
    <t>Mohit Jiwnani</t>
  </si>
  <si>
    <t>067</t>
  </si>
  <si>
    <t>0157CY231068</t>
  </si>
  <si>
    <t>Mohit Mishra</t>
  </si>
  <si>
    <t>068</t>
  </si>
  <si>
    <t>0157CY231069</t>
  </si>
  <si>
    <t>Naman Chouhan</t>
  </si>
  <si>
    <t>069</t>
  </si>
  <si>
    <t>0157CY231070</t>
  </si>
  <si>
    <t>Naman Tripathi</t>
  </si>
  <si>
    <t>070</t>
  </si>
  <si>
    <t>0157CY231071</t>
  </si>
  <si>
    <t>Neer Sahu</t>
  </si>
  <si>
    <t>071</t>
  </si>
  <si>
    <t>0157CY231072</t>
  </si>
  <si>
    <t>Niharika Dubey</t>
  </si>
  <si>
    <t>072</t>
  </si>
  <si>
    <t>0157CY231073</t>
  </si>
  <si>
    <t>Niharika Jain</t>
  </si>
  <si>
    <t>073</t>
  </si>
  <si>
    <t>0157CY231074</t>
  </si>
  <si>
    <t>Nikhil Dubey</t>
  </si>
  <si>
    <t>074</t>
  </si>
  <si>
    <t>0157CY231075</t>
  </si>
  <si>
    <t>Paras Sahu</t>
  </si>
  <si>
    <t>075</t>
  </si>
  <si>
    <t>0157CY231076</t>
  </si>
  <si>
    <t>Paridhi Mishra</t>
  </si>
  <si>
    <t>076</t>
  </si>
  <si>
    <t>0157CY231077</t>
  </si>
  <si>
    <t>Parth Bhawsar</t>
  </si>
  <si>
    <t>077</t>
  </si>
  <si>
    <t>0157CY231078</t>
  </si>
  <si>
    <t>Parth Soni</t>
  </si>
</sst>
</file>

<file path=xl/styles.xml><?xml version="1.0" encoding="utf-8"?>
<styleSheet xmlns="http://schemas.openxmlformats.org/spreadsheetml/2006/main">
  <numFmts count="1">
    <numFmt numFmtId="164" formatCode="0;[Red]0"/>
  </numFmts>
  <fonts count="35">
    <font>
      <sz val="10"/>
      <color rgb="FF000000"/>
      <name val="Calibri"/>
      <scheme val="minor"/>
    </font>
    <font>
      <b/>
      <sz val="18"/>
      <name val="Times New Roman"/>
    </font>
    <font>
      <b/>
      <sz val="9"/>
      <name val="Arial Narrow"/>
    </font>
    <font>
      <sz val="10"/>
      <name val="Calibri"/>
    </font>
    <font>
      <sz val="9"/>
      <name val="Arial Narrow"/>
    </font>
    <font>
      <b/>
      <sz val="12"/>
      <name val="Arial Narrow"/>
    </font>
    <font>
      <sz val="20"/>
      <name val="Arial Narrow"/>
    </font>
    <font>
      <sz val="20"/>
      <color rgb="FF000000"/>
      <name val="Arial"/>
    </font>
    <font>
      <sz val="20"/>
      <color rgb="FF000000"/>
      <name val="Times New Roman"/>
    </font>
    <font>
      <sz val="20"/>
      <name val="Times New Roman"/>
    </font>
    <font>
      <b/>
      <sz val="20"/>
      <name val="Times New Roman"/>
    </font>
    <font>
      <sz val="20"/>
      <color rgb="FF000000"/>
      <name val="Calibri"/>
    </font>
    <font>
      <b/>
      <sz val="20"/>
      <color rgb="FF000000"/>
      <name val="Arial Narrow"/>
    </font>
    <font>
      <b/>
      <sz val="20"/>
      <color rgb="FF000000"/>
      <name val="Times New Roman"/>
    </font>
    <font>
      <sz val="20"/>
      <color rgb="FFFF0000"/>
      <name val="Arial"/>
    </font>
    <font>
      <sz val="20"/>
      <color rgb="FFFF0000"/>
      <name val="Times New Roman"/>
    </font>
    <font>
      <b/>
      <sz val="20"/>
      <color rgb="FF00FF00"/>
      <name val="Arial Narrow"/>
    </font>
    <font>
      <sz val="14"/>
      <name val="Times New Roman"/>
    </font>
    <font>
      <sz val="15"/>
      <name val="Times New Roman"/>
    </font>
    <font>
      <b/>
      <sz val="14"/>
      <name val="Times New Roman"/>
    </font>
    <font>
      <b/>
      <sz val="15"/>
      <name val="Times New Roman"/>
    </font>
    <font>
      <sz val="9"/>
      <name val="Times New Roman"/>
    </font>
    <font>
      <sz val="10"/>
      <name val="Times New Roman"/>
    </font>
    <font>
      <sz val="12"/>
      <name val="Times New Roman"/>
    </font>
    <font>
      <sz val="10"/>
      <name val="Arial Narrow"/>
    </font>
    <font>
      <sz val="18"/>
      <color rgb="FF000000"/>
      <name val="Times New Roman"/>
    </font>
    <font>
      <sz val="18"/>
      <name val="Arial Narrow"/>
    </font>
    <font>
      <sz val="18"/>
      <color rgb="FF000000"/>
      <name val="Arial"/>
    </font>
    <font>
      <sz val="18"/>
      <name val="Times New Roman"/>
    </font>
    <font>
      <b/>
      <sz val="18"/>
      <color rgb="FF000000"/>
      <name val="Arial Narrow"/>
    </font>
    <font>
      <b/>
      <sz val="18"/>
      <color rgb="FF000000"/>
      <name val="Times New Roman"/>
    </font>
    <font>
      <sz val="18"/>
      <color rgb="FF000000"/>
      <name val="Calibri"/>
    </font>
    <font>
      <sz val="18"/>
      <color rgb="FFFF0000"/>
      <name val="Arial"/>
    </font>
    <font>
      <sz val="18"/>
      <color rgb="FFFF0000"/>
      <name val="Times New Roman"/>
    </font>
    <font>
      <b/>
      <sz val="18"/>
      <color rgb="FF00FF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wrapText="1"/>
    </xf>
    <xf numFmtId="0" fontId="7" fillId="2" borderId="1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1" fillId="0" borderId="1" xfId="0" applyFont="1" applyBorder="1"/>
    <xf numFmtId="0" fontId="8" fillId="0" borderId="10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wrapText="1"/>
    </xf>
    <xf numFmtId="0" fontId="15" fillId="2" borderId="11" xfId="0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19" fillId="2" borderId="2" xfId="0" applyFont="1" applyFill="1" applyBorder="1"/>
    <xf numFmtId="0" fontId="20" fillId="2" borderId="2" xfId="0" applyFont="1" applyFill="1" applyBorder="1"/>
    <xf numFmtId="0" fontId="21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left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  <xf numFmtId="0" fontId="25" fillId="0" borderId="8" xfId="0" applyFont="1" applyBorder="1" applyAlignment="1">
      <alignment horizontal="center" wrapText="1"/>
    </xf>
    <xf numFmtId="49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7" fillId="2" borderId="8" xfId="0" applyFont="1" applyFill="1" applyBorder="1" applyAlignment="1">
      <alignment horizontal="center" wrapText="1"/>
    </xf>
    <xf numFmtId="0" fontId="25" fillId="2" borderId="9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wrapText="1"/>
    </xf>
    <xf numFmtId="164" fontId="28" fillId="0" borderId="1" xfId="0" applyNumberFormat="1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wrapText="1"/>
    </xf>
    <xf numFmtId="0" fontId="25" fillId="2" borderId="11" xfId="0" applyFont="1" applyFill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0" fontId="30" fillId="0" borderId="10" xfId="0" applyFont="1" applyBorder="1" applyAlignment="1">
      <alignment horizontal="center" wrapText="1"/>
    </xf>
    <xf numFmtId="0" fontId="31" fillId="0" borderId="10" xfId="0" applyFont="1" applyBorder="1" applyAlignment="1">
      <alignment wrapText="1"/>
    </xf>
    <xf numFmtId="0" fontId="32" fillId="2" borderId="10" xfId="0" applyFont="1" applyFill="1" applyBorder="1" applyAlignment="1">
      <alignment horizontal="center" wrapText="1"/>
    </xf>
    <xf numFmtId="0" fontId="33" fillId="2" borderId="11" xfId="0" applyFont="1" applyFill="1" applyBorder="1" applyAlignment="1">
      <alignment horizontal="center" wrapText="1"/>
    </xf>
    <xf numFmtId="0" fontId="34" fillId="0" borderId="10" xfId="0" applyFont="1" applyBorder="1" applyAlignment="1">
      <alignment horizontal="center" wrapText="1"/>
    </xf>
    <xf numFmtId="0" fontId="31" fillId="0" borderId="10" xfId="0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" fillId="2" borderId="3" xfId="0" applyFont="1" applyFill="1" applyBorder="1" applyAlignment="1">
      <alignment horizontal="center" vertical="top" wrapText="1"/>
    </xf>
    <xf numFmtId="0" fontId="3" fillId="0" borderId="7" xfId="0" applyFont="1" applyBorder="1"/>
    <xf numFmtId="0" fontId="3" fillId="0" borderId="4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800080"/>
      </font>
      <fill>
        <patternFill patternType="none"/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800080"/>
      </font>
      <fill>
        <patternFill patternType="none"/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152400</xdr:rowOff>
    </xdr:from>
    <xdr:ext cx="962025" cy="8667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152400</xdr:rowOff>
    </xdr:from>
    <xdr:ext cx="962025" cy="866775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152400</xdr:rowOff>
    </xdr:from>
    <xdr:ext cx="962025" cy="866775"/>
    <xdr:pic>
      <xdr:nvPicPr>
        <xdr:cNvPr id="2" name="image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152400</xdr:rowOff>
    </xdr:from>
    <xdr:ext cx="962025" cy="866775"/>
    <xdr:pic>
      <xdr:nvPicPr>
        <xdr:cNvPr id="3" name="image4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100"/>
  <sheetViews>
    <sheetView topLeftCell="C19" zoomScale="50" zoomScaleNormal="50" workbookViewId="0">
      <selection activeCell="P7" sqref="P7:P45"/>
    </sheetView>
  </sheetViews>
  <sheetFormatPr defaultColWidth="14.42578125" defaultRowHeight="15" customHeight="1"/>
  <cols>
    <col min="1" max="1" width="20.140625" customWidth="1"/>
    <col min="2" max="2" width="22.7109375" customWidth="1"/>
    <col min="3" max="3" width="37.5703125" customWidth="1"/>
    <col min="4" max="16" width="16.7109375" customWidth="1"/>
    <col min="17" max="35" width="11.140625" customWidth="1"/>
  </cols>
  <sheetData>
    <row r="1" spans="1:35" ht="100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5" ht="42" customHeight="1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4" t="s">
        <v>1</v>
      </c>
      <c r="O2" s="4" t="s">
        <v>2</v>
      </c>
      <c r="P2" s="4" t="s">
        <v>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20.25" customHeight="1">
      <c r="A3" s="2"/>
      <c r="B3" s="2"/>
      <c r="C3" s="2"/>
      <c r="D3" s="82">
        <v>1</v>
      </c>
      <c r="E3" s="81"/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6" t="s">
        <v>4</v>
      </c>
      <c r="O3" s="2" t="s">
        <v>5</v>
      </c>
      <c r="P3" s="2" t="s">
        <v>6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31.5" customHeight="1">
      <c r="A4" s="75" t="s">
        <v>7</v>
      </c>
      <c r="B4" s="75" t="s">
        <v>8</v>
      </c>
      <c r="C4" s="75" t="s">
        <v>9</v>
      </c>
      <c r="D4" s="83" t="s">
        <v>10</v>
      </c>
      <c r="E4" s="81"/>
      <c r="F4" s="6"/>
      <c r="G4" s="75" t="s">
        <v>11</v>
      </c>
      <c r="H4" s="75" t="s">
        <v>12</v>
      </c>
      <c r="I4" s="75" t="s">
        <v>12</v>
      </c>
      <c r="J4" s="75" t="s">
        <v>13</v>
      </c>
      <c r="K4" s="75" t="s">
        <v>14</v>
      </c>
      <c r="L4" s="73" t="s">
        <v>15</v>
      </c>
      <c r="M4" s="75" t="s">
        <v>16</v>
      </c>
      <c r="N4" s="6" t="s">
        <v>17</v>
      </c>
      <c r="O4" s="75" t="s">
        <v>18</v>
      </c>
      <c r="P4" s="75" t="s">
        <v>19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78" customHeight="1">
      <c r="A5" s="74"/>
      <c r="B5" s="74"/>
      <c r="C5" s="74"/>
      <c r="D5" s="6" t="s">
        <v>20</v>
      </c>
      <c r="E5" s="6" t="s">
        <v>21</v>
      </c>
      <c r="F5" s="6" t="s">
        <v>22</v>
      </c>
      <c r="G5" s="74"/>
      <c r="H5" s="74"/>
      <c r="I5" s="74"/>
      <c r="J5" s="74"/>
      <c r="K5" s="74"/>
      <c r="L5" s="74"/>
      <c r="M5" s="74"/>
      <c r="N5" s="6"/>
      <c r="O5" s="74"/>
      <c r="P5" s="7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24.75" customHeight="1">
      <c r="A6" s="79" t="s">
        <v>23</v>
      </c>
      <c r="B6" s="80"/>
      <c r="C6" s="81"/>
      <c r="D6" s="2">
        <v>60</v>
      </c>
      <c r="E6" s="2">
        <v>24</v>
      </c>
      <c r="F6" s="2">
        <f t="shared" ref="F6:F45" si="0">SUM(D6:E6)</f>
        <v>84</v>
      </c>
      <c r="G6" s="2">
        <f t="shared" ref="G6:G45" si="1">ROUNDUP(F6*100/$F$6,0)</f>
        <v>100</v>
      </c>
      <c r="H6" s="2">
        <v>5</v>
      </c>
      <c r="I6" s="2">
        <v>15</v>
      </c>
      <c r="J6" s="2">
        <v>20</v>
      </c>
      <c r="K6" s="2">
        <v>20</v>
      </c>
      <c r="L6" s="2">
        <f t="shared" ref="L6:L45" si="2">MAX(J6:K6)</f>
        <v>20</v>
      </c>
      <c r="M6" s="2">
        <v>5</v>
      </c>
      <c r="N6" s="2">
        <v>20</v>
      </c>
      <c r="O6" s="2">
        <v>10</v>
      </c>
      <c r="P6" s="2">
        <v>20</v>
      </c>
      <c r="Q6" s="9">
        <f t="shared" ref="Q6:Q45" si="3">N6+O6</f>
        <v>30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24.75" customHeight="1">
      <c r="A7" s="10" t="s">
        <v>24</v>
      </c>
      <c r="B7" s="11" t="s">
        <v>25</v>
      </c>
      <c r="C7" s="12" t="s">
        <v>26</v>
      </c>
      <c r="D7" s="13">
        <v>31</v>
      </c>
      <c r="E7" s="14">
        <v>12</v>
      </c>
      <c r="F7" s="15">
        <f t="shared" si="0"/>
        <v>43</v>
      </c>
      <c r="G7" s="16">
        <f t="shared" si="1"/>
        <v>52</v>
      </c>
      <c r="H7" s="15" t="str">
        <f t="shared" ref="H7:H45" si="4">IF(G7&gt;=75,"5",IF(G7&gt;=60,"4",IF(G7&gt;=50,"3",IF(G7&gt;=40,"2","1"))))</f>
        <v>3</v>
      </c>
      <c r="I7" s="15">
        <f t="shared" ref="I7:I45" si="5">H7*3</f>
        <v>9</v>
      </c>
      <c r="J7" s="17">
        <v>0</v>
      </c>
      <c r="K7" s="18">
        <v>18</v>
      </c>
      <c r="L7" s="19">
        <f t="shared" si="2"/>
        <v>18</v>
      </c>
      <c r="M7" s="15" t="str">
        <f t="shared" ref="M7:M45" si="6">IF(G7&gt;=50,"5",IF(G7&gt;=30,"4","3"))</f>
        <v>5</v>
      </c>
      <c r="N7" s="20">
        <f t="shared" ref="N7:N45" si="7">L7</f>
        <v>18</v>
      </c>
      <c r="O7" s="20">
        <f t="shared" ref="O7:O45" si="8">H7+M7</f>
        <v>8</v>
      </c>
      <c r="P7" s="20">
        <f t="shared" ref="P7:P45" si="9">I7+M7</f>
        <v>14</v>
      </c>
      <c r="Q7" s="21">
        <f t="shared" si="3"/>
        <v>26</v>
      </c>
    </row>
    <row r="8" spans="1:35" ht="24.75" customHeight="1">
      <c r="A8" s="10" t="s">
        <v>27</v>
      </c>
      <c r="B8" s="11" t="s">
        <v>28</v>
      </c>
      <c r="C8" s="12" t="s">
        <v>29</v>
      </c>
      <c r="D8" s="22">
        <v>29</v>
      </c>
      <c r="E8" s="23">
        <v>10</v>
      </c>
      <c r="F8" s="15">
        <f t="shared" si="0"/>
        <v>39</v>
      </c>
      <c r="G8" s="16">
        <f t="shared" si="1"/>
        <v>47</v>
      </c>
      <c r="H8" s="15" t="str">
        <f t="shared" si="4"/>
        <v>2</v>
      </c>
      <c r="I8" s="15">
        <f t="shared" si="5"/>
        <v>6</v>
      </c>
      <c r="J8" s="24">
        <v>0</v>
      </c>
      <c r="K8" s="25">
        <v>18</v>
      </c>
      <c r="L8" s="19">
        <f t="shared" si="2"/>
        <v>18</v>
      </c>
      <c r="M8" s="15" t="str">
        <f t="shared" si="6"/>
        <v>4</v>
      </c>
      <c r="N8" s="20">
        <f t="shared" si="7"/>
        <v>18</v>
      </c>
      <c r="O8" s="20">
        <f t="shared" si="8"/>
        <v>6</v>
      </c>
      <c r="P8" s="20">
        <f t="shared" si="9"/>
        <v>10</v>
      </c>
      <c r="Q8" s="21">
        <f t="shared" si="3"/>
        <v>24</v>
      </c>
    </row>
    <row r="9" spans="1:35" ht="24.75" customHeight="1">
      <c r="A9" s="10" t="s">
        <v>30</v>
      </c>
      <c r="B9" s="11" t="s">
        <v>31</v>
      </c>
      <c r="C9" s="12" t="s">
        <v>32</v>
      </c>
      <c r="D9" s="22">
        <v>37</v>
      </c>
      <c r="E9" s="23">
        <v>16</v>
      </c>
      <c r="F9" s="15">
        <f t="shared" si="0"/>
        <v>53</v>
      </c>
      <c r="G9" s="16">
        <f t="shared" si="1"/>
        <v>64</v>
      </c>
      <c r="H9" s="15" t="str">
        <f t="shared" si="4"/>
        <v>4</v>
      </c>
      <c r="I9" s="15">
        <f t="shared" si="5"/>
        <v>12</v>
      </c>
      <c r="J9" s="24">
        <v>0</v>
      </c>
      <c r="K9" s="25">
        <v>16</v>
      </c>
      <c r="L9" s="19">
        <f t="shared" si="2"/>
        <v>16</v>
      </c>
      <c r="M9" s="15" t="str">
        <f t="shared" si="6"/>
        <v>5</v>
      </c>
      <c r="N9" s="20">
        <f t="shared" si="7"/>
        <v>16</v>
      </c>
      <c r="O9" s="20">
        <f t="shared" si="8"/>
        <v>9</v>
      </c>
      <c r="P9" s="20">
        <f t="shared" si="9"/>
        <v>17</v>
      </c>
      <c r="Q9" s="21">
        <f t="shared" si="3"/>
        <v>25</v>
      </c>
    </row>
    <row r="10" spans="1:35" ht="24.75" customHeight="1">
      <c r="A10" s="10" t="s">
        <v>33</v>
      </c>
      <c r="B10" s="11" t="s">
        <v>34</v>
      </c>
      <c r="C10" s="12" t="s">
        <v>35</v>
      </c>
      <c r="D10" s="22">
        <v>39</v>
      </c>
      <c r="E10" s="23">
        <v>16</v>
      </c>
      <c r="F10" s="15">
        <f t="shared" si="0"/>
        <v>55</v>
      </c>
      <c r="G10" s="16">
        <f t="shared" si="1"/>
        <v>66</v>
      </c>
      <c r="H10" s="15" t="str">
        <f t="shared" si="4"/>
        <v>4</v>
      </c>
      <c r="I10" s="15">
        <f t="shared" si="5"/>
        <v>12</v>
      </c>
      <c r="J10" s="24">
        <v>0</v>
      </c>
      <c r="K10" s="25">
        <v>18</v>
      </c>
      <c r="L10" s="19">
        <f t="shared" si="2"/>
        <v>18</v>
      </c>
      <c r="M10" s="15" t="str">
        <f t="shared" si="6"/>
        <v>5</v>
      </c>
      <c r="N10" s="20">
        <f t="shared" si="7"/>
        <v>18</v>
      </c>
      <c r="O10" s="20">
        <f t="shared" si="8"/>
        <v>9</v>
      </c>
      <c r="P10" s="20">
        <f t="shared" si="9"/>
        <v>17</v>
      </c>
      <c r="Q10" s="21">
        <f t="shared" si="3"/>
        <v>27</v>
      </c>
    </row>
    <row r="11" spans="1:35" ht="24.75" customHeight="1">
      <c r="A11" s="10" t="s">
        <v>36</v>
      </c>
      <c r="B11" s="11" t="s">
        <v>37</v>
      </c>
      <c r="C11" s="12" t="s">
        <v>38</v>
      </c>
      <c r="D11" s="22">
        <v>47</v>
      </c>
      <c r="E11" s="23">
        <v>22</v>
      </c>
      <c r="F11" s="15">
        <f t="shared" si="0"/>
        <v>69</v>
      </c>
      <c r="G11" s="16">
        <f t="shared" si="1"/>
        <v>83</v>
      </c>
      <c r="H11" s="15" t="str">
        <f t="shared" si="4"/>
        <v>5</v>
      </c>
      <c r="I11" s="15">
        <f t="shared" si="5"/>
        <v>15</v>
      </c>
      <c r="J11" s="26">
        <v>19</v>
      </c>
      <c r="K11" s="25">
        <v>0</v>
      </c>
      <c r="L11" s="19">
        <f t="shared" si="2"/>
        <v>19</v>
      </c>
      <c r="M11" s="15" t="str">
        <f t="shared" si="6"/>
        <v>5</v>
      </c>
      <c r="N11" s="20">
        <f t="shared" si="7"/>
        <v>19</v>
      </c>
      <c r="O11" s="20">
        <f t="shared" si="8"/>
        <v>10</v>
      </c>
      <c r="P11" s="20">
        <f t="shared" si="9"/>
        <v>20</v>
      </c>
      <c r="Q11" s="21">
        <f t="shared" si="3"/>
        <v>29</v>
      </c>
    </row>
    <row r="12" spans="1:35" ht="24.75" customHeight="1">
      <c r="A12" s="10" t="s">
        <v>39</v>
      </c>
      <c r="B12" s="11" t="s">
        <v>40</v>
      </c>
      <c r="C12" s="12" t="s">
        <v>41</v>
      </c>
      <c r="D12" s="22">
        <v>38</v>
      </c>
      <c r="E12" s="23">
        <v>14</v>
      </c>
      <c r="F12" s="15">
        <f t="shared" si="0"/>
        <v>52</v>
      </c>
      <c r="G12" s="16">
        <f t="shared" si="1"/>
        <v>62</v>
      </c>
      <c r="H12" s="15" t="str">
        <f t="shared" si="4"/>
        <v>4</v>
      </c>
      <c r="I12" s="15">
        <f t="shared" si="5"/>
        <v>12</v>
      </c>
      <c r="J12" s="24">
        <v>0</v>
      </c>
      <c r="K12" s="25">
        <v>17</v>
      </c>
      <c r="L12" s="19">
        <f t="shared" si="2"/>
        <v>17</v>
      </c>
      <c r="M12" s="15" t="str">
        <f t="shared" si="6"/>
        <v>5</v>
      </c>
      <c r="N12" s="20">
        <f t="shared" si="7"/>
        <v>17</v>
      </c>
      <c r="O12" s="20">
        <f t="shared" si="8"/>
        <v>9</v>
      </c>
      <c r="P12" s="20">
        <f t="shared" si="9"/>
        <v>17</v>
      </c>
      <c r="Q12" s="21">
        <f t="shared" si="3"/>
        <v>26</v>
      </c>
    </row>
    <row r="13" spans="1:35" ht="24.75" customHeight="1">
      <c r="A13" s="10" t="s">
        <v>42</v>
      </c>
      <c r="B13" s="11" t="s">
        <v>43</v>
      </c>
      <c r="C13" s="27" t="s">
        <v>44</v>
      </c>
      <c r="D13" s="22">
        <v>29</v>
      </c>
      <c r="E13" s="23">
        <v>14</v>
      </c>
      <c r="F13" s="15">
        <f t="shared" si="0"/>
        <v>43</v>
      </c>
      <c r="G13" s="16">
        <f t="shared" si="1"/>
        <v>52</v>
      </c>
      <c r="H13" s="15" t="str">
        <f t="shared" si="4"/>
        <v>3</v>
      </c>
      <c r="I13" s="15">
        <f t="shared" si="5"/>
        <v>9</v>
      </c>
      <c r="J13" s="28">
        <v>10</v>
      </c>
      <c r="K13" s="25">
        <v>0</v>
      </c>
      <c r="L13" s="19">
        <f t="shared" si="2"/>
        <v>10</v>
      </c>
      <c r="M13" s="15" t="str">
        <f t="shared" si="6"/>
        <v>5</v>
      </c>
      <c r="N13" s="20">
        <f t="shared" si="7"/>
        <v>10</v>
      </c>
      <c r="O13" s="20">
        <f t="shared" si="8"/>
        <v>8</v>
      </c>
      <c r="P13" s="20">
        <f t="shared" si="9"/>
        <v>14</v>
      </c>
      <c r="Q13" s="21">
        <f t="shared" si="3"/>
        <v>18</v>
      </c>
    </row>
    <row r="14" spans="1:35" ht="24.75" customHeight="1">
      <c r="A14" s="10" t="s">
        <v>45</v>
      </c>
      <c r="B14" s="11" t="s">
        <v>46</v>
      </c>
      <c r="C14" s="27" t="s">
        <v>44</v>
      </c>
      <c r="D14" s="22">
        <v>48</v>
      </c>
      <c r="E14" s="23">
        <v>20</v>
      </c>
      <c r="F14" s="15">
        <f t="shared" si="0"/>
        <v>68</v>
      </c>
      <c r="G14" s="16">
        <f t="shared" si="1"/>
        <v>81</v>
      </c>
      <c r="H14" s="15" t="str">
        <f t="shared" si="4"/>
        <v>5</v>
      </c>
      <c r="I14" s="15">
        <f t="shared" si="5"/>
        <v>15</v>
      </c>
      <c r="J14" s="28">
        <v>20</v>
      </c>
      <c r="K14" s="25">
        <v>0</v>
      </c>
      <c r="L14" s="19">
        <f t="shared" si="2"/>
        <v>20</v>
      </c>
      <c r="M14" s="15" t="str">
        <f t="shared" si="6"/>
        <v>5</v>
      </c>
      <c r="N14" s="20">
        <f t="shared" si="7"/>
        <v>20</v>
      </c>
      <c r="O14" s="20">
        <f t="shared" si="8"/>
        <v>10</v>
      </c>
      <c r="P14" s="20">
        <f t="shared" si="9"/>
        <v>20</v>
      </c>
      <c r="Q14" s="21">
        <f t="shared" si="3"/>
        <v>30</v>
      </c>
    </row>
    <row r="15" spans="1:35" ht="24.75" customHeight="1">
      <c r="A15" s="10" t="s">
        <v>47</v>
      </c>
      <c r="B15" s="11" t="s">
        <v>48</v>
      </c>
      <c r="C15" s="12" t="s">
        <v>49</v>
      </c>
      <c r="D15" s="22">
        <v>41</v>
      </c>
      <c r="E15" s="23">
        <v>20</v>
      </c>
      <c r="F15" s="15">
        <f t="shared" si="0"/>
        <v>61</v>
      </c>
      <c r="G15" s="16">
        <f t="shared" si="1"/>
        <v>73</v>
      </c>
      <c r="H15" s="15" t="str">
        <f t="shared" si="4"/>
        <v>4</v>
      </c>
      <c r="I15" s="15">
        <f t="shared" si="5"/>
        <v>12</v>
      </c>
      <c r="J15" s="28">
        <v>3</v>
      </c>
      <c r="K15" s="25">
        <v>0</v>
      </c>
      <c r="L15" s="19">
        <f t="shared" si="2"/>
        <v>3</v>
      </c>
      <c r="M15" s="15" t="str">
        <f t="shared" si="6"/>
        <v>5</v>
      </c>
      <c r="N15" s="20">
        <f t="shared" si="7"/>
        <v>3</v>
      </c>
      <c r="O15" s="20">
        <f t="shared" si="8"/>
        <v>9</v>
      </c>
      <c r="P15" s="20">
        <f t="shared" si="9"/>
        <v>17</v>
      </c>
      <c r="Q15" s="21">
        <f t="shared" si="3"/>
        <v>12</v>
      </c>
    </row>
    <row r="16" spans="1:35" ht="24.75" customHeight="1">
      <c r="A16" s="10" t="s">
        <v>50</v>
      </c>
      <c r="B16" s="11" t="s">
        <v>51</v>
      </c>
      <c r="C16" s="12" t="s">
        <v>52</v>
      </c>
      <c r="D16" s="22">
        <v>44</v>
      </c>
      <c r="E16" s="23">
        <v>16</v>
      </c>
      <c r="F16" s="15">
        <f t="shared" si="0"/>
        <v>60</v>
      </c>
      <c r="G16" s="16">
        <f t="shared" si="1"/>
        <v>72</v>
      </c>
      <c r="H16" s="15" t="str">
        <f t="shared" si="4"/>
        <v>4</v>
      </c>
      <c r="I16" s="15">
        <f t="shared" si="5"/>
        <v>12</v>
      </c>
      <c r="J16" s="28">
        <v>19</v>
      </c>
      <c r="K16" s="25">
        <v>0</v>
      </c>
      <c r="L16" s="19">
        <f t="shared" si="2"/>
        <v>19</v>
      </c>
      <c r="M16" s="15" t="str">
        <f t="shared" si="6"/>
        <v>5</v>
      </c>
      <c r="N16" s="20">
        <f t="shared" si="7"/>
        <v>19</v>
      </c>
      <c r="O16" s="20">
        <f t="shared" si="8"/>
        <v>9</v>
      </c>
      <c r="P16" s="20">
        <f t="shared" si="9"/>
        <v>17</v>
      </c>
      <c r="Q16" s="21">
        <f t="shared" si="3"/>
        <v>28</v>
      </c>
    </row>
    <row r="17" spans="1:17" ht="24.75" customHeight="1">
      <c r="A17" s="10" t="s">
        <v>53</v>
      </c>
      <c r="B17" s="11" t="s">
        <v>54</v>
      </c>
      <c r="C17" s="12" t="s">
        <v>55</v>
      </c>
      <c r="D17" s="22">
        <v>53</v>
      </c>
      <c r="E17" s="23">
        <v>20</v>
      </c>
      <c r="F17" s="15">
        <f t="shared" si="0"/>
        <v>73</v>
      </c>
      <c r="G17" s="16">
        <f t="shared" si="1"/>
        <v>87</v>
      </c>
      <c r="H17" s="15" t="str">
        <f t="shared" si="4"/>
        <v>5</v>
      </c>
      <c r="I17" s="15">
        <f t="shared" si="5"/>
        <v>15</v>
      </c>
      <c r="J17" s="28">
        <v>18</v>
      </c>
      <c r="K17" s="25">
        <v>0</v>
      </c>
      <c r="L17" s="19">
        <f t="shared" si="2"/>
        <v>18</v>
      </c>
      <c r="M17" s="15" t="str">
        <f t="shared" si="6"/>
        <v>5</v>
      </c>
      <c r="N17" s="20">
        <f t="shared" si="7"/>
        <v>18</v>
      </c>
      <c r="O17" s="20">
        <f t="shared" si="8"/>
        <v>10</v>
      </c>
      <c r="P17" s="20">
        <f t="shared" si="9"/>
        <v>20</v>
      </c>
      <c r="Q17" s="21">
        <f t="shared" si="3"/>
        <v>28</v>
      </c>
    </row>
    <row r="18" spans="1:17" ht="24.75" customHeight="1">
      <c r="A18" s="10" t="s">
        <v>56</v>
      </c>
      <c r="B18" s="11" t="s">
        <v>57</v>
      </c>
      <c r="C18" s="12" t="s">
        <v>58</v>
      </c>
      <c r="D18" s="22">
        <v>49</v>
      </c>
      <c r="E18" s="23">
        <v>14</v>
      </c>
      <c r="F18" s="15">
        <f t="shared" si="0"/>
        <v>63</v>
      </c>
      <c r="G18" s="16">
        <f t="shared" si="1"/>
        <v>75</v>
      </c>
      <c r="H18" s="15" t="str">
        <f t="shared" si="4"/>
        <v>5</v>
      </c>
      <c r="I18" s="15">
        <f t="shared" si="5"/>
        <v>15</v>
      </c>
      <c r="J18" s="26">
        <v>20</v>
      </c>
      <c r="K18" s="25">
        <v>0</v>
      </c>
      <c r="L18" s="19">
        <f t="shared" si="2"/>
        <v>20</v>
      </c>
      <c r="M18" s="15" t="str">
        <f t="shared" si="6"/>
        <v>5</v>
      </c>
      <c r="N18" s="20">
        <f t="shared" si="7"/>
        <v>20</v>
      </c>
      <c r="O18" s="20">
        <f t="shared" si="8"/>
        <v>10</v>
      </c>
      <c r="P18" s="20">
        <f t="shared" si="9"/>
        <v>20</v>
      </c>
      <c r="Q18" s="21">
        <f t="shared" si="3"/>
        <v>30</v>
      </c>
    </row>
    <row r="19" spans="1:17" ht="24.75" customHeight="1">
      <c r="A19" s="10" t="s">
        <v>59</v>
      </c>
      <c r="B19" s="11" t="s">
        <v>60</v>
      </c>
      <c r="C19" s="12" t="s">
        <v>61</v>
      </c>
      <c r="D19" s="22">
        <v>41</v>
      </c>
      <c r="E19" s="23">
        <v>12</v>
      </c>
      <c r="F19" s="15">
        <f t="shared" si="0"/>
        <v>53</v>
      </c>
      <c r="G19" s="16">
        <f t="shared" si="1"/>
        <v>64</v>
      </c>
      <c r="H19" s="15" t="str">
        <f t="shared" si="4"/>
        <v>4</v>
      </c>
      <c r="I19" s="15">
        <f t="shared" si="5"/>
        <v>12</v>
      </c>
      <c r="J19" s="28">
        <v>20</v>
      </c>
      <c r="K19" s="25">
        <v>0</v>
      </c>
      <c r="L19" s="19">
        <f t="shared" si="2"/>
        <v>20</v>
      </c>
      <c r="M19" s="15" t="str">
        <f t="shared" si="6"/>
        <v>5</v>
      </c>
      <c r="N19" s="20">
        <f t="shared" si="7"/>
        <v>20</v>
      </c>
      <c r="O19" s="20">
        <f t="shared" si="8"/>
        <v>9</v>
      </c>
      <c r="P19" s="20">
        <f t="shared" si="9"/>
        <v>17</v>
      </c>
      <c r="Q19" s="21">
        <f t="shared" si="3"/>
        <v>29</v>
      </c>
    </row>
    <row r="20" spans="1:17" ht="24.75" customHeight="1">
      <c r="A20" s="10" t="s">
        <v>62</v>
      </c>
      <c r="B20" s="11" t="s">
        <v>63</v>
      </c>
      <c r="C20" s="12" t="s">
        <v>64</v>
      </c>
      <c r="D20" s="22">
        <v>51</v>
      </c>
      <c r="E20" s="23">
        <v>22</v>
      </c>
      <c r="F20" s="15">
        <f t="shared" si="0"/>
        <v>73</v>
      </c>
      <c r="G20" s="16">
        <f t="shared" si="1"/>
        <v>87</v>
      </c>
      <c r="H20" s="15" t="str">
        <f t="shared" si="4"/>
        <v>5</v>
      </c>
      <c r="I20" s="15">
        <f t="shared" si="5"/>
        <v>15</v>
      </c>
      <c r="J20" s="28">
        <v>19</v>
      </c>
      <c r="K20" s="25">
        <v>0</v>
      </c>
      <c r="L20" s="19">
        <f t="shared" si="2"/>
        <v>19</v>
      </c>
      <c r="M20" s="15" t="str">
        <f t="shared" si="6"/>
        <v>5</v>
      </c>
      <c r="N20" s="20">
        <f t="shared" si="7"/>
        <v>19</v>
      </c>
      <c r="O20" s="20">
        <f t="shared" si="8"/>
        <v>10</v>
      </c>
      <c r="P20" s="20">
        <f t="shared" si="9"/>
        <v>20</v>
      </c>
      <c r="Q20" s="21">
        <f t="shared" si="3"/>
        <v>29</v>
      </c>
    </row>
    <row r="21" spans="1:17" ht="24.75" customHeight="1">
      <c r="A21" s="29" t="s">
        <v>65</v>
      </c>
      <c r="B21" s="11" t="s">
        <v>66</v>
      </c>
      <c r="C21" s="12" t="s">
        <v>67</v>
      </c>
      <c r="D21" s="22">
        <v>45</v>
      </c>
      <c r="E21" s="23">
        <v>14</v>
      </c>
      <c r="F21" s="15">
        <f t="shared" si="0"/>
        <v>59</v>
      </c>
      <c r="G21" s="16">
        <f t="shared" si="1"/>
        <v>71</v>
      </c>
      <c r="H21" s="15" t="str">
        <f t="shared" si="4"/>
        <v>4</v>
      </c>
      <c r="I21" s="15">
        <f t="shared" si="5"/>
        <v>12</v>
      </c>
      <c r="J21" s="28">
        <v>20</v>
      </c>
      <c r="K21" s="25">
        <v>0</v>
      </c>
      <c r="L21" s="19">
        <f t="shared" si="2"/>
        <v>20</v>
      </c>
      <c r="M21" s="15" t="str">
        <f t="shared" si="6"/>
        <v>5</v>
      </c>
      <c r="N21" s="20">
        <f t="shared" si="7"/>
        <v>20</v>
      </c>
      <c r="O21" s="20">
        <f t="shared" si="8"/>
        <v>9</v>
      </c>
      <c r="P21" s="20">
        <f t="shared" si="9"/>
        <v>17</v>
      </c>
      <c r="Q21" s="21">
        <f t="shared" si="3"/>
        <v>29</v>
      </c>
    </row>
    <row r="22" spans="1:17" ht="24.75" customHeight="1">
      <c r="A22" s="10" t="s">
        <v>68</v>
      </c>
      <c r="B22" s="11" t="s">
        <v>69</v>
      </c>
      <c r="C22" s="12" t="s">
        <v>70</v>
      </c>
      <c r="D22" s="22">
        <v>52</v>
      </c>
      <c r="E22" s="23">
        <v>22</v>
      </c>
      <c r="F22" s="15">
        <f t="shared" si="0"/>
        <v>74</v>
      </c>
      <c r="G22" s="16">
        <f t="shared" si="1"/>
        <v>89</v>
      </c>
      <c r="H22" s="15" t="str">
        <f t="shared" si="4"/>
        <v>5</v>
      </c>
      <c r="I22" s="15">
        <f t="shared" si="5"/>
        <v>15</v>
      </c>
      <c r="J22" s="30">
        <v>20</v>
      </c>
      <c r="K22" s="25">
        <v>0</v>
      </c>
      <c r="L22" s="19">
        <f t="shared" si="2"/>
        <v>20</v>
      </c>
      <c r="M22" s="15" t="str">
        <f t="shared" si="6"/>
        <v>5</v>
      </c>
      <c r="N22" s="20">
        <f t="shared" si="7"/>
        <v>20</v>
      </c>
      <c r="O22" s="20">
        <f t="shared" si="8"/>
        <v>10</v>
      </c>
      <c r="P22" s="20">
        <f t="shared" si="9"/>
        <v>20</v>
      </c>
      <c r="Q22" s="21">
        <f t="shared" si="3"/>
        <v>30</v>
      </c>
    </row>
    <row r="23" spans="1:17" ht="24.75" customHeight="1">
      <c r="A23" s="10" t="s">
        <v>71</v>
      </c>
      <c r="B23" s="11" t="s">
        <v>72</v>
      </c>
      <c r="C23" s="12" t="s">
        <v>73</v>
      </c>
      <c r="D23" s="31">
        <v>18</v>
      </c>
      <c r="E23" s="32">
        <v>14</v>
      </c>
      <c r="F23" s="15">
        <f t="shared" si="0"/>
        <v>32</v>
      </c>
      <c r="G23" s="16">
        <f t="shared" si="1"/>
        <v>39</v>
      </c>
      <c r="H23" s="15" t="str">
        <f t="shared" si="4"/>
        <v>1</v>
      </c>
      <c r="I23" s="15">
        <f t="shared" si="5"/>
        <v>3</v>
      </c>
      <c r="J23" s="33">
        <v>0</v>
      </c>
      <c r="K23" s="34">
        <v>0</v>
      </c>
      <c r="L23" s="19">
        <f t="shared" si="2"/>
        <v>0</v>
      </c>
      <c r="M23" s="15" t="str">
        <f t="shared" si="6"/>
        <v>4</v>
      </c>
      <c r="N23" s="20">
        <f t="shared" si="7"/>
        <v>0</v>
      </c>
      <c r="O23" s="20">
        <f t="shared" si="8"/>
        <v>5</v>
      </c>
      <c r="P23" s="20">
        <f t="shared" si="9"/>
        <v>7</v>
      </c>
      <c r="Q23" s="21">
        <f t="shared" si="3"/>
        <v>5</v>
      </c>
    </row>
    <row r="24" spans="1:17" ht="24.75" customHeight="1">
      <c r="A24" s="10" t="s">
        <v>74</v>
      </c>
      <c r="B24" s="11" t="s">
        <v>75</v>
      </c>
      <c r="C24" s="12" t="s">
        <v>76</v>
      </c>
      <c r="D24" s="22">
        <v>48</v>
      </c>
      <c r="E24" s="23">
        <v>18</v>
      </c>
      <c r="F24" s="15">
        <f t="shared" si="0"/>
        <v>66</v>
      </c>
      <c r="G24" s="16">
        <f t="shared" si="1"/>
        <v>79</v>
      </c>
      <c r="H24" s="15" t="str">
        <f t="shared" si="4"/>
        <v>5</v>
      </c>
      <c r="I24" s="15">
        <f t="shared" si="5"/>
        <v>15</v>
      </c>
      <c r="J24" s="33">
        <v>0</v>
      </c>
      <c r="K24" s="25">
        <v>16</v>
      </c>
      <c r="L24" s="19">
        <f t="shared" si="2"/>
        <v>16</v>
      </c>
      <c r="M24" s="15" t="str">
        <f t="shared" si="6"/>
        <v>5</v>
      </c>
      <c r="N24" s="20">
        <f t="shared" si="7"/>
        <v>16</v>
      </c>
      <c r="O24" s="20">
        <f t="shared" si="8"/>
        <v>10</v>
      </c>
      <c r="P24" s="20">
        <f t="shared" si="9"/>
        <v>20</v>
      </c>
      <c r="Q24" s="21">
        <f t="shared" si="3"/>
        <v>26</v>
      </c>
    </row>
    <row r="25" spans="1:17" ht="24.75" customHeight="1">
      <c r="A25" s="10" t="s">
        <v>77</v>
      </c>
      <c r="B25" s="11" t="s">
        <v>78</v>
      </c>
      <c r="C25" s="12" t="s">
        <v>79</v>
      </c>
      <c r="D25" s="22">
        <v>48</v>
      </c>
      <c r="E25" s="23">
        <v>16</v>
      </c>
      <c r="F25" s="15">
        <f t="shared" si="0"/>
        <v>64</v>
      </c>
      <c r="G25" s="16">
        <f t="shared" si="1"/>
        <v>77</v>
      </c>
      <c r="H25" s="15" t="str">
        <f t="shared" si="4"/>
        <v>5</v>
      </c>
      <c r="I25" s="15">
        <f t="shared" si="5"/>
        <v>15</v>
      </c>
      <c r="J25" s="35">
        <v>20</v>
      </c>
      <c r="K25" s="25">
        <v>0</v>
      </c>
      <c r="L25" s="19">
        <f t="shared" si="2"/>
        <v>20</v>
      </c>
      <c r="M25" s="15" t="str">
        <f t="shared" si="6"/>
        <v>5</v>
      </c>
      <c r="N25" s="20">
        <f t="shared" si="7"/>
        <v>20</v>
      </c>
      <c r="O25" s="20">
        <f t="shared" si="8"/>
        <v>10</v>
      </c>
      <c r="P25" s="20">
        <f t="shared" si="9"/>
        <v>20</v>
      </c>
      <c r="Q25" s="21">
        <f t="shared" si="3"/>
        <v>30</v>
      </c>
    </row>
    <row r="26" spans="1:17" ht="24.75" customHeight="1">
      <c r="A26" s="10" t="s">
        <v>80</v>
      </c>
      <c r="B26" s="11" t="s">
        <v>81</v>
      </c>
      <c r="C26" s="12" t="s">
        <v>82</v>
      </c>
      <c r="D26" s="22">
        <v>46</v>
      </c>
      <c r="E26" s="23">
        <v>16</v>
      </c>
      <c r="F26" s="15">
        <f t="shared" si="0"/>
        <v>62</v>
      </c>
      <c r="G26" s="16">
        <f t="shared" si="1"/>
        <v>74</v>
      </c>
      <c r="H26" s="15" t="str">
        <f t="shared" si="4"/>
        <v>4</v>
      </c>
      <c r="I26" s="15">
        <f t="shared" si="5"/>
        <v>12</v>
      </c>
      <c r="J26" s="30">
        <v>16</v>
      </c>
      <c r="K26" s="25">
        <v>0</v>
      </c>
      <c r="L26" s="19">
        <f t="shared" si="2"/>
        <v>16</v>
      </c>
      <c r="M26" s="15" t="str">
        <f t="shared" si="6"/>
        <v>5</v>
      </c>
      <c r="N26" s="20">
        <f t="shared" si="7"/>
        <v>16</v>
      </c>
      <c r="O26" s="20">
        <f t="shared" si="8"/>
        <v>9</v>
      </c>
      <c r="P26" s="20">
        <f t="shared" si="9"/>
        <v>17</v>
      </c>
      <c r="Q26" s="21">
        <f t="shared" si="3"/>
        <v>25</v>
      </c>
    </row>
    <row r="27" spans="1:17" ht="24.75" customHeight="1">
      <c r="A27" s="10" t="s">
        <v>83</v>
      </c>
      <c r="B27" s="11" t="s">
        <v>84</v>
      </c>
      <c r="C27" s="12" t="s">
        <v>85</v>
      </c>
      <c r="D27" s="22">
        <v>38</v>
      </c>
      <c r="E27" s="23">
        <v>18</v>
      </c>
      <c r="F27" s="15">
        <f t="shared" si="0"/>
        <v>56</v>
      </c>
      <c r="G27" s="16">
        <f t="shared" si="1"/>
        <v>67</v>
      </c>
      <c r="H27" s="15" t="str">
        <f t="shared" si="4"/>
        <v>4</v>
      </c>
      <c r="I27" s="15">
        <f t="shared" si="5"/>
        <v>12</v>
      </c>
      <c r="J27" s="30">
        <v>18</v>
      </c>
      <c r="K27" s="25">
        <v>0</v>
      </c>
      <c r="L27" s="19">
        <f t="shared" si="2"/>
        <v>18</v>
      </c>
      <c r="M27" s="15" t="str">
        <f t="shared" si="6"/>
        <v>5</v>
      </c>
      <c r="N27" s="20">
        <f t="shared" si="7"/>
        <v>18</v>
      </c>
      <c r="O27" s="20">
        <f t="shared" si="8"/>
        <v>9</v>
      </c>
      <c r="P27" s="20">
        <f t="shared" si="9"/>
        <v>17</v>
      </c>
      <c r="Q27" s="21">
        <f t="shared" si="3"/>
        <v>27</v>
      </c>
    </row>
    <row r="28" spans="1:17" ht="24.75" customHeight="1">
      <c r="A28" s="10" t="s">
        <v>86</v>
      </c>
      <c r="B28" s="11" t="s">
        <v>87</v>
      </c>
      <c r="C28" s="12" t="s">
        <v>88</v>
      </c>
      <c r="D28" s="22">
        <v>40</v>
      </c>
      <c r="E28" s="23">
        <v>18</v>
      </c>
      <c r="F28" s="15">
        <f t="shared" si="0"/>
        <v>58</v>
      </c>
      <c r="G28" s="16">
        <f t="shared" si="1"/>
        <v>70</v>
      </c>
      <c r="H28" s="15" t="str">
        <f t="shared" si="4"/>
        <v>4</v>
      </c>
      <c r="I28" s="15">
        <f t="shared" si="5"/>
        <v>12</v>
      </c>
      <c r="J28" s="33">
        <v>0</v>
      </c>
      <c r="K28" s="25">
        <v>20</v>
      </c>
      <c r="L28" s="19">
        <f t="shared" si="2"/>
        <v>20</v>
      </c>
      <c r="M28" s="15" t="str">
        <f t="shared" si="6"/>
        <v>5</v>
      </c>
      <c r="N28" s="20">
        <f t="shared" si="7"/>
        <v>20</v>
      </c>
      <c r="O28" s="20">
        <f t="shared" si="8"/>
        <v>9</v>
      </c>
      <c r="P28" s="20">
        <f t="shared" si="9"/>
        <v>17</v>
      </c>
      <c r="Q28" s="21">
        <f t="shared" si="3"/>
        <v>29</v>
      </c>
    </row>
    <row r="29" spans="1:17" ht="24.75" customHeight="1">
      <c r="A29" s="10" t="s">
        <v>89</v>
      </c>
      <c r="B29" s="11" t="s">
        <v>90</v>
      </c>
      <c r="C29" s="12" t="s">
        <v>91</v>
      </c>
      <c r="D29" s="22">
        <v>42</v>
      </c>
      <c r="E29" s="23">
        <v>20</v>
      </c>
      <c r="F29" s="15">
        <f t="shared" si="0"/>
        <v>62</v>
      </c>
      <c r="G29" s="16">
        <f t="shared" si="1"/>
        <v>74</v>
      </c>
      <c r="H29" s="15" t="str">
        <f t="shared" si="4"/>
        <v>4</v>
      </c>
      <c r="I29" s="15">
        <f t="shared" si="5"/>
        <v>12</v>
      </c>
      <c r="J29" s="36">
        <v>20</v>
      </c>
      <c r="K29" s="25">
        <v>0</v>
      </c>
      <c r="L29" s="19">
        <f t="shared" si="2"/>
        <v>20</v>
      </c>
      <c r="M29" s="15" t="str">
        <f t="shared" si="6"/>
        <v>5</v>
      </c>
      <c r="N29" s="20">
        <f t="shared" si="7"/>
        <v>20</v>
      </c>
      <c r="O29" s="20">
        <f t="shared" si="8"/>
        <v>9</v>
      </c>
      <c r="P29" s="20">
        <f t="shared" si="9"/>
        <v>17</v>
      </c>
      <c r="Q29" s="21">
        <f t="shared" si="3"/>
        <v>29</v>
      </c>
    </row>
    <row r="30" spans="1:17" ht="24.75" customHeight="1">
      <c r="A30" s="10" t="s">
        <v>92</v>
      </c>
      <c r="B30" s="11" t="s">
        <v>93</v>
      </c>
      <c r="C30" s="12" t="s">
        <v>94</v>
      </c>
      <c r="D30" s="22">
        <v>50</v>
      </c>
      <c r="E30" s="23">
        <v>14</v>
      </c>
      <c r="F30" s="15">
        <f t="shared" si="0"/>
        <v>64</v>
      </c>
      <c r="G30" s="16">
        <f t="shared" si="1"/>
        <v>77</v>
      </c>
      <c r="H30" s="15" t="str">
        <f t="shared" si="4"/>
        <v>5</v>
      </c>
      <c r="I30" s="15">
        <f t="shared" si="5"/>
        <v>15</v>
      </c>
      <c r="J30" s="30">
        <v>20</v>
      </c>
      <c r="K30" s="25">
        <v>0</v>
      </c>
      <c r="L30" s="19">
        <f t="shared" si="2"/>
        <v>20</v>
      </c>
      <c r="M30" s="15" t="str">
        <f t="shared" si="6"/>
        <v>5</v>
      </c>
      <c r="N30" s="20">
        <f t="shared" si="7"/>
        <v>20</v>
      </c>
      <c r="O30" s="20">
        <f t="shared" si="8"/>
        <v>10</v>
      </c>
      <c r="P30" s="20">
        <f t="shared" si="9"/>
        <v>20</v>
      </c>
      <c r="Q30" s="21">
        <f t="shared" si="3"/>
        <v>30</v>
      </c>
    </row>
    <row r="31" spans="1:17" ht="24.75" customHeight="1">
      <c r="A31" s="10" t="s">
        <v>95</v>
      </c>
      <c r="B31" s="11" t="s">
        <v>96</v>
      </c>
      <c r="C31" s="12" t="s">
        <v>97</v>
      </c>
      <c r="D31" s="31">
        <v>23</v>
      </c>
      <c r="E31" s="32">
        <v>12</v>
      </c>
      <c r="F31" s="15">
        <f t="shared" si="0"/>
        <v>35</v>
      </c>
      <c r="G31" s="16">
        <f t="shared" si="1"/>
        <v>42</v>
      </c>
      <c r="H31" s="15" t="str">
        <f t="shared" si="4"/>
        <v>2</v>
      </c>
      <c r="I31" s="15">
        <f t="shared" si="5"/>
        <v>6</v>
      </c>
      <c r="J31" s="33">
        <v>0</v>
      </c>
      <c r="K31" s="25">
        <v>20</v>
      </c>
      <c r="L31" s="19">
        <f t="shared" si="2"/>
        <v>20</v>
      </c>
      <c r="M31" s="15" t="str">
        <f t="shared" si="6"/>
        <v>4</v>
      </c>
      <c r="N31" s="20">
        <f t="shared" si="7"/>
        <v>20</v>
      </c>
      <c r="O31" s="20">
        <f t="shared" si="8"/>
        <v>6</v>
      </c>
      <c r="P31" s="20">
        <f t="shared" si="9"/>
        <v>10</v>
      </c>
      <c r="Q31" s="21">
        <f t="shared" si="3"/>
        <v>26</v>
      </c>
    </row>
    <row r="32" spans="1:17" ht="24.75" customHeight="1">
      <c r="A32" s="10" t="s">
        <v>98</v>
      </c>
      <c r="B32" s="11" t="s">
        <v>99</v>
      </c>
      <c r="C32" s="12" t="s">
        <v>100</v>
      </c>
      <c r="D32" s="31">
        <v>24</v>
      </c>
      <c r="E32" s="32">
        <v>16</v>
      </c>
      <c r="F32" s="15">
        <f t="shared" si="0"/>
        <v>40</v>
      </c>
      <c r="G32" s="16">
        <f t="shared" si="1"/>
        <v>48</v>
      </c>
      <c r="H32" s="15" t="str">
        <f t="shared" si="4"/>
        <v>2</v>
      </c>
      <c r="I32" s="15">
        <f t="shared" si="5"/>
        <v>6</v>
      </c>
      <c r="J32" s="33">
        <v>0</v>
      </c>
      <c r="K32" s="25">
        <v>20</v>
      </c>
      <c r="L32" s="19">
        <f t="shared" si="2"/>
        <v>20</v>
      </c>
      <c r="M32" s="15" t="str">
        <f t="shared" si="6"/>
        <v>4</v>
      </c>
      <c r="N32" s="20">
        <f t="shared" si="7"/>
        <v>20</v>
      </c>
      <c r="O32" s="20">
        <f t="shared" si="8"/>
        <v>6</v>
      </c>
      <c r="P32" s="20">
        <f t="shared" si="9"/>
        <v>10</v>
      </c>
      <c r="Q32" s="21">
        <f t="shared" si="3"/>
        <v>26</v>
      </c>
    </row>
    <row r="33" spans="1:35" ht="24.75" customHeight="1">
      <c r="A33" s="10" t="s">
        <v>101</v>
      </c>
      <c r="B33" s="11" t="s">
        <v>102</v>
      </c>
      <c r="C33" s="12" t="s">
        <v>103</v>
      </c>
      <c r="D33" s="22">
        <v>50</v>
      </c>
      <c r="E33" s="23">
        <v>16</v>
      </c>
      <c r="F33" s="15">
        <f t="shared" si="0"/>
        <v>66</v>
      </c>
      <c r="G33" s="16">
        <f t="shared" si="1"/>
        <v>79</v>
      </c>
      <c r="H33" s="15" t="str">
        <f t="shared" si="4"/>
        <v>5</v>
      </c>
      <c r="I33" s="15">
        <f t="shared" si="5"/>
        <v>15</v>
      </c>
      <c r="J33" s="33">
        <v>0</v>
      </c>
      <c r="K33" s="25">
        <v>18</v>
      </c>
      <c r="L33" s="19">
        <f t="shared" si="2"/>
        <v>18</v>
      </c>
      <c r="M33" s="15" t="str">
        <f t="shared" si="6"/>
        <v>5</v>
      </c>
      <c r="N33" s="20">
        <f t="shared" si="7"/>
        <v>18</v>
      </c>
      <c r="O33" s="20">
        <f t="shared" si="8"/>
        <v>10</v>
      </c>
      <c r="P33" s="20">
        <f t="shared" si="9"/>
        <v>20</v>
      </c>
      <c r="Q33" s="21">
        <f t="shared" si="3"/>
        <v>28</v>
      </c>
    </row>
    <row r="34" spans="1:35" ht="24.75" customHeight="1">
      <c r="A34" s="10" t="s">
        <v>104</v>
      </c>
      <c r="B34" s="11" t="s">
        <v>105</v>
      </c>
      <c r="C34" s="12" t="s">
        <v>106</v>
      </c>
      <c r="D34" s="22">
        <v>43</v>
      </c>
      <c r="E34" s="23">
        <v>16</v>
      </c>
      <c r="F34" s="15">
        <f t="shared" si="0"/>
        <v>59</v>
      </c>
      <c r="G34" s="16">
        <f t="shared" si="1"/>
        <v>71</v>
      </c>
      <c r="H34" s="15" t="str">
        <f t="shared" si="4"/>
        <v>4</v>
      </c>
      <c r="I34" s="15">
        <f t="shared" si="5"/>
        <v>12</v>
      </c>
      <c r="J34" s="28">
        <v>12</v>
      </c>
      <c r="K34" s="25">
        <v>0</v>
      </c>
      <c r="L34" s="19">
        <f t="shared" si="2"/>
        <v>12</v>
      </c>
      <c r="M34" s="15" t="str">
        <f t="shared" si="6"/>
        <v>5</v>
      </c>
      <c r="N34" s="20">
        <f t="shared" si="7"/>
        <v>12</v>
      </c>
      <c r="O34" s="20">
        <f t="shared" si="8"/>
        <v>9</v>
      </c>
      <c r="P34" s="20">
        <f t="shared" si="9"/>
        <v>17</v>
      </c>
      <c r="Q34" s="21">
        <f t="shared" si="3"/>
        <v>21</v>
      </c>
    </row>
    <row r="35" spans="1:35" ht="24.75" customHeight="1">
      <c r="A35" s="10" t="s">
        <v>107</v>
      </c>
      <c r="B35" s="11" t="s">
        <v>108</v>
      </c>
      <c r="C35" s="12" t="s">
        <v>109</v>
      </c>
      <c r="D35" s="22">
        <v>34</v>
      </c>
      <c r="E35" s="23">
        <v>24</v>
      </c>
      <c r="F35" s="15">
        <f t="shared" si="0"/>
        <v>58</v>
      </c>
      <c r="G35" s="16">
        <f t="shared" si="1"/>
        <v>70</v>
      </c>
      <c r="H35" s="15" t="str">
        <f t="shared" si="4"/>
        <v>4</v>
      </c>
      <c r="I35" s="15">
        <f t="shared" si="5"/>
        <v>12</v>
      </c>
      <c r="J35" s="26">
        <v>19</v>
      </c>
      <c r="K35" s="25">
        <v>0</v>
      </c>
      <c r="L35" s="19">
        <f t="shared" si="2"/>
        <v>19</v>
      </c>
      <c r="M35" s="15" t="str">
        <f t="shared" si="6"/>
        <v>5</v>
      </c>
      <c r="N35" s="20">
        <f t="shared" si="7"/>
        <v>19</v>
      </c>
      <c r="O35" s="20">
        <f t="shared" si="8"/>
        <v>9</v>
      </c>
      <c r="P35" s="20">
        <f t="shared" si="9"/>
        <v>17</v>
      </c>
      <c r="Q35" s="21">
        <f t="shared" si="3"/>
        <v>28</v>
      </c>
    </row>
    <row r="36" spans="1:35" ht="24.75" customHeight="1">
      <c r="A36" s="10" t="s">
        <v>110</v>
      </c>
      <c r="B36" s="11" t="s">
        <v>111</v>
      </c>
      <c r="C36" s="12" t="s">
        <v>112</v>
      </c>
      <c r="D36" s="22">
        <v>48</v>
      </c>
      <c r="E36" s="23">
        <v>18</v>
      </c>
      <c r="F36" s="15">
        <f t="shared" si="0"/>
        <v>66</v>
      </c>
      <c r="G36" s="16">
        <f t="shared" si="1"/>
        <v>79</v>
      </c>
      <c r="H36" s="15" t="str">
        <f t="shared" si="4"/>
        <v>5</v>
      </c>
      <c r="I36" s="15">
        <f t="shared" si="5"/>
        <v>15</v>
      </c>
      <c r="J36" s="26">
        <v>17</v>
      </c>
      <c r="K36" s="25">
        <v>0</v>
      </c>
      <c r="L36" s="19">
        <f t="shared" si="2"/>
        <v>17</v>
      </c>
      <c r="M36" s="15" t="str">
        <f t="shared" si="6"/>
        <v>5</v>
      </c>
      <c r="N36" s="20">
        <f t="shared" si="7"/>
        <v>17</v>
      </c>
      <c r="O36" s="20">
        <f t="shared" si="8"/>
        <v>10</v>
      </c>
      <c r="P36" s="20">
        <f t="shared" si="9"/>
        <v>20</v>
      </c>
      <c r="Q36" s="21">
        <f t="shared" si="3"/>
        <v>27</v>
      </c>
    </row>
    <row r="37" spans="1:35" ht="24.75" customHeight="1">
      <c r="A37" s="10" t="s">
        <v>113</v>
      </c>
      <c r="B37" s="11" t="s">
        <v>114</v>
      </c>
      <c r="C37" s="12" t="s">
        <v>115</v>
      </c>
      <c r="D37" s="22">
        <v>47</v>
      </c>
      <c r="E37" s="23">
        <v>20</v>
      </c>
      <c r="F37" s="15">
        <f t="shared" si="0"/>
        <v>67</v>
      </c>
      <c r="G37" s="16">
        <f t="shared" si="1"/>
        <v>80</v>
      </c>
      <c r="H37" s="15" t="str">
        <f t="shared" si="4"/>
        <v>5</v>
      </c>
      <c r="I37" s="15">
        <f t="shared" si="5"/>
        <v>15</v>
      </c>
      <c r="J37" s="26">
        <v>18</v>
      </c>
      <c r="K37" s="25">
        <v>0</v>
      </c>
      <c r="L37" s="19">
        <f t="shared" si="2"/>
        <v>18</v>
      </c>
      <c r="M37" s="15" t="str">
        <f t="shared" si="6"/>
        <v>5</v>
      </c>
      <c r="N37" s="20">
        <f t="shared" si="7"/>
        <v>18</v>
      </c>
      <c r="O37" s="20">
        <f t="shared" si="8"/>
        <v>10</v>
      </c>
      <c r="P37" s="20">
        <f t="shared" si="9"/>
        <v>20</v>
      </c>
      <c r="Q37" s="21">
        <f t="shared" si="3"/>
        <v>28</v>
      </c>
    </row>
    <row r="38" spans="1:35" ht="24.75" customHeight="1">
      <c r="A38" s="10" t="s">
        <v>116</v>
      </c>
      <c r="B38" s="11" t="s">
        <v>117</v>
      </c>
      <c r="C38" s="12" t="s">
        <v>118</v>
      </c>
      <c r="D38" s="22">
        <v>56</v>
      </c>
      <c r="E38" s="23">
        <v>20</v>
      </c>
      <c r="F38" s="15">
        <f t="shared" si="0"/>
        <v>76</v>
      </c>
      <c r="G38" s="16">
        <f t="shared" si="1"/>
        <v>91</v>
      </c>
      <c r="H38" s="15" t="str">
        <f t="shared" si="4"/>
        <v>5</v>
      </c>
      <c r="I38" s="15">
        <f t="shared" si="5"/>
        <v>15</v>
      </c>
      <c r="J38" s="28">
        <v>12</v>
      </c>
      <c r="K38" s="25">
        <v>19</v>
      </c>
      <c r="L38" s="19">
        <f t="shared" si="2"/>
        <v>19</v>
      </c>
      <c r="M38" s="15" t="str">
        <f t="shared" si="6"/>
        <v>5</v>
      </c>
      <c r="N38" s="20">
        <f t="shared" si="7"/>
        <v>19</v>
      </c>
      <c r="O38" s="20">
        <f t="shared" si="8"/>
        <v>10</v>
      </c>
      <c r="P38" s="20">
        <f t="shared" si="9"/>
        <v>20</v>
      </c>
      <c r="Q38" s="21">
        <f t="shared" si="3"/>
        <v>29</v>
      </c>
    </row>
    <row r="39" spans="1:35" ht="24.75" customHeight="1">
      <c r="A39" s="10" t="s">
        <v>119</v>
      </c>
      <c r="B39" s="11" t="s">
        <v>120</v>
      </c>
      <c r="C39" s="12" t="s">
        <v>121</v>
      </c>
      <c r="D39" s="22">
        <v>56</v>
      </c>
      <c r="E39" s="23">
        <v>20</v>
      </c>
      <c r="F39" s="15">
        <f t="shared" si="0"/>
        <v>76</v>
      </c>
      <c r="G39" s="16">
        <f t="shared" si="1"/>
        <v>91</v>
      </c>
      <c r="H39" s="15" t="str">
        <f t="shared" si="4"/>
        <v>5</v>
      </c>
      <c r="I39" s="15">
        <f t="shared" si="5"/>
        <v>15</v>
      </c>
      <c r="J39" s="28">
        <v>20</v>
      </c>
      <c r="K39" s="25">
        <v>0</v>
      </c>
      <c r="L39" s="19">
        <f t="shared" si="2"/>
        <v>20</v>
      </c>
      <c r="M39" s="15" t="str">
        <f t="shared" si="6"/>
        <v>5</v>
      </c>
      <c r="N39" s="20">
        <f t="shared" si="7"/>
        <v>20</v>
      </c>
      <c r="O39" s="20">
        <f t="shared" si="8"/>
        <v>10</v>
      </c>
      <c r="P39" s="20">
        <f t="shared" si="9"/>
        <v>20</v>
      </c>
      <c r="Q39" s="21">
        <f t="shared" si="3"/>
        <v>30</v>
      </c>
    </row>
    <row r="40" spans="1:35" ht="24.75" customHeight="1">
      <c r="A40" s="10" t="s">
        <v>122</v>
      </c>
      <c r="B40" s="11" t="s">
        <v>123</v>
      </c>
      <c r="C40" s="12" t="s">
        <v>124</v>
      </c>
      <c r="D40" s="22">
        <v>54</v>
      </c>
      <c r="E40" s="23">
        <v>18</v>
      </c>
      <c r="F40" s="15">
        <f t="shared" si="0"/>
        <v>72</v>
      </c>
      <c r="G40" s="16">
        <f t="shared" si="1"/>
        <v>86</v>
      </c>
      <c r="H40" s="15" t="str">
        <f t="shared" si="4"/>
        <v>5</v>
      </c>
      <c r="I40" s="15">
        <f t="shared" si="5"/>
        <v>15</v>
      </c>
      <c r="J40" s="28">
        <v>19</v>
      </c>
      <c r="K40" s="25">
        <v>0</v>
      </c>
      <c r="L40" s="19">
        <f t="shared" si="2"/>
        <v>19</v>
      </c>
      <c r="M40" s="15" t="str">
        <f t="shared" si="6"/>
        <v>5</v>
      </c>
      <c r="N40" s="20">
        <f t="shared" si="7"/>
        <v>19</v>
      </c>
      <c r="O40" s="20">
        <f t="shared" si="8"/>
        <v>10</v>
      </c>
      <c r="P40" s="20">
        <f t="shared" si="9"/>
        <v>20</v>
      </c>
      <c r="Q40" s="21">
        <f t="shared" si="3"/>
        <v>29</v>
      </c>
    </row>
    <row r="41" spans="1:35" ht="24.75" customHeight="1">
      <c r="A41" s="10" t="s">
        <v>125</v>
      </c>
      <c r="B41" s="11" t="s">
        <v>126</v>
      </c>
      <c r="C41" s="12" t="s">
        <v>127</v>
      </c>
      <c r="D41" s="22">
        <v>42</v>
      </c>
      <c r="E41" s="23">
        <v>20</v>
      </c>
      <c r="F41" s="15">
        <f t="shared" si="0"/>
        <v>62</v>
      </c>
      <c r="G41" s="16">
        <f t="shared" si="1"/>
        <v>74</v>
      </c>
      <c r="H41" s="15" t="str">
        <f t="shared" si="4"/>
        <v>4</v>
      </c>
      <c r="I41" s="15">
        <f t="shared" si="5"/>
        <v>12</v>
      </c>
      <c r="J41" s="26">
        <v>18</v>
      </c>
      <c r="K41" s="25">
        <v>0</v>
      </c>
      <c r="L41" s="19">
        <f t="shared" si="2"/>
        <v>18</v>
      </c>
      <c r="M41" s="15" t="str">
        <f t="shared" si="6"/>
        <v>5</v>
      </c>
      <c r="N41" s="20">
        <f t="shared" si="7"/>
        <v>18</v>
      </c>
      <c r="O41" s="20">
        <f t="shared" si="8"/>
        <v>9</v>
      </c>
      <c r="P41" s="20">
        <f t="shared" si="9"/>
        <v>17</v>
      </c>
      <c r="Q41" s="21">
        <f t="shared" si="3"/>
        <v>27</v>
      </c>
    </row>
    <row r="42" spans="1:35" ht="24.75" customHeight="1">
      <c r="A42" s="10" t="s">
        <v>128</v>
      </c>
      <c r="B42" s="11" t="s">
        <v>129</v>
      </c>
      <c r="C42" s="12" t="s">
        <v>130</v>
      </c>
      <c r="D42" s="22">
        <v>44</v>
      </c>
      <c r="E42" s="23">
        <v>12</v>
      </c>
      <c r="F42" s="15">
        <f t="shared" si="0"/>
        <v>56</v>
      </c>
      <c r="G42" s="16">
        <f t="shared" si="1"/>
        <v>67</v>
      </c>
      <c r="H42" s="15" t="str">
        <f t="shared" si="4"/>
        <v>4</v>
      </c>
      <c r="I42" s="15">
        <f t="shared" si="5"/>
        <v>12</v>
      </c>
      <c r="J42" s="28">
        <v>14</v>
      </c>
      <c r="K42" s="25">
        <v>0</v>
      </c>
      <c r="L42" s="19">
        <f t="shared" si="2"/>
        <v>14</v>
      </c>
      <c r="M42" s="15" t="str">
        <f t="shared" si="6"/>
        <v>5</v>
      </c>
      <c r="N42" s="20">
        <f t="shared" si="7"/>
        <v>14</v>
      </c>
      <c r="O42" s="20">
        <f t="shared" si="8"/>
        <v>9</v>
      </c>
      <c r="P42" s="20">
        <f t="shared" si="9"/>
        <v>17</v>
      </c>
      <c r="Q42" s="21">
        <f t="shared" si="3"/>
        <v>23</v>
      </c>
    </row>
    <row r="43" spans="1:35" ht="24.75" customHeight="1">
      <c r="A43" s="10" t="s">
        <v>131</v>
      </c>
      <c r="B43" s="11" t="s">
        <v>132</v>
      </c>
      <c r="C43" s="12" t="s">
        <v>133</v>
      </c>
      <c r="D43" s="22">
        <v>52</v>
      </c>
      <c r="E43" s="23">
        <v>22</v>
      </c>
      <c r="F43" s="15">
        <f t="shared" si="0"/>
        <v>74</v>
      </c>
      <c r="G43" s="16">
        <f t="shared" si="1"/>
        <v>89</v>
      </c>
      <c r="H43" s="15" t="str">
        <f t="shared" si="4"/>
        <v>5</v>
      </c>
      <c r="I43" s="15">
        <f t="shared" si="5"/>
        <v>15</v>
      </c>
      <c r="J43" s="28">
        <v>18</v>
      </c>
      <c r="K43" s="25">
        <v>0</v>
      </c>
      <c r="L43" s="19">
        <f t="shared" si="2"/>
        <v>18</v>
      </c>
      <c r="M43" s="15" t="str">
        <f t="shared" si="6"/>
        <v>5</v>
      </c>
      <c r="N43" s="20">
        <f t="shared" si="7"/>
        <v>18</v>
      </c>
      <c r="O43" s="20">
        <f t="shared" si="8"/>
        <v>10</v>
      </c>
      <c r="P43" s="20">
        <f t="shared" si="9"/>
        <v>20</v>
      </c>
      <c r="Q43" s="21">
        <f t="shared" si="3"/>
        <v>28</v>
      </c>
    </row>
    <row r="44" spans="1:35" ht="24.75" customHeight="1">
      <c r="A44" s="10" t="s">
        <v>134</v>
      </c>
      <c r="B44" s="11" t="s">
        <v>135</v>
      </c>
      <c r="C44" s="12" t="s">
        <v>136</v>
      </c>
      <c r="D44" s="22">
        <v>47</v>
      </c>
      <c r="E44" s="23">
        <v>20</v>
      </c>
      <c r="F44" s="15">
        <f t="shared" si="0"/>
        <v>67</v>
      </c>
      <c r="G44" s="16">
        <f t="shared" si="1"/>
        <v>80</v>
      </c>
      <c r="H44" s="15" t="str">
        <f t="shared" si="4"/>
        <v>5</v>
      </c>
      <c r="I44" s="15">
        <f t="shared" si="5"/>
        <v>15</v>
      </c>
      <c r="J44" s="28">
        <v>11</v>
      </c>
      <c r="K44" s="25">
        <v>0</v>
      </c>
      <c r="L44" s="19">
        <f t="shared" si="2"/>
        <v>11</v>
      </c>
      <c r="M44" s="15" t="str">
        <f t="shared" si="6"/>
        <v>5</v>
      </c>
      <c r="N44" s="20">
        <f t="shared" si="7"/>
        <v>11</v>
      </c>
      <c r="O44" s="20">
        <f t="shared" si="8"/>
        <v>10</v>
      </c>
      <c r="P44" s="20">
        <f t="shared" si="9"/>
        <v>20</v>
      </c>
      <c r="Q44" s="21">
        <f t="shared" si="3"/>
        <v>21</v>
      </c>
    </row>
    <row r="45" spans="1:35" ht="24.75" customHeight="1">
      <c r="A45" s="10" t="s">
        <v>137</v>
      </c>
      <c r="B45" s="11" t="s">
        <v>138</v>
      </c>
      <c r="C45" s="12" t="s">
        <v>139</v>
      </c>
      <c r="D45" s="22">
        <v>50</v>
      </c>
      <c r="E45" s="23">
        <v>16</v>
      </c>
      <c r="F45" s="15">
        <f t="shared" si="0"/>
        <v>66</v>
      </c>
      <c r="G45" s="16">
        <f t="shared" si="1"/>
        <v>79</v>
      </c>
      <c r="H45" s="15" t="str">
        <f t="shared" si="4"/>
        <v>5</v>
      </c>
      <c r="I45" s="15">
        <f t="shared" si="5"/>
        <v>15</v>
      </c>
      <c r="J45" s="28">
        <v>19</v>
      </c>
      <c r="K45" s="25">
        <v>0</v>
      </c>
      <c r="L45" s="19">
        <f t="shared" si="2"/>
        <v>19</v>
      </c>
      <c r="M45" s="15" t="str">
        <f t="shared" si="6"/>
        <v>5</v>
      </c>
      <c r="N45" s="20">
        <f t="shared" si="7"/>
        <v>19</v>
      </c>
      <c r="O45" s="20">
        <f t="shared" si="8"/>
        <v>10</v>
      </c>
      <c r="P45" s="20">
        <f t="shared" si="9"/>
        <v>20</v>
      </c>
      <c r="Q45" s="21">
        <f t="shared" si="3"/>
        <v>29</v>
      </c>
    </row>
    <row r="46" spans="1:35" ht="24.75" customHeight="1">
      <c r="A46" s="37"/>
      <c r="B46" s="38"/>
      <c r="C46" s="39"/>
      <c r="D46" s="40"/>
      <c r="E46" s="38"/>
      <c r="F46" s="38"/>
      <c r="G46" s="38"/>
      <c r="H46" s="40"/>
      <c r="I46" s="38"/>
      <c r="J46" s="38"/>
      <c r="K46" s="40"/>
      <c r="L46" s="38"/>
      <c r="M46" s="38"/>
      <c r="N46" s="38"/>
      <c r="O46" s="38"/>
      <c r="P46" s="38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</row>
    <row r="47" spans="1:35" ht="24.75" customHeight="1">
      <c r="A47" s="42" t="s">
        <v>140</v>
      </c>
      <c r="B47" s="43" t="s">
        <v>141</v>
      </c>
      <c r="C47" s="43"/>
      <c r="D47" s="40"/>
      <c r="E47" s="38"/>
      <c r="F47" s="38"/>
      <c r="G47" s="38"/>
      <c r="H47" s="40"/>
      <c r="I47" s="38"/>
      <c r="J47" s="38"/>
      <c r="K47" s="40"/>
      <c r="L47" s="38"/>
      <c r="M47" s="38"/>
      <c r="N47" s="76" t="s">
        <v>142</v>
      </c>
      <c r="O47" s="77"/>
      <c r="P47" s="78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</row>
    <row r="48" spans="1:35" ht="13.5" customHeight="1">
      <c r="A48" s="44"/>
      <c r="B48" s="44"/>
      <c r="C48" s="45"/>
      <c r="D48" s="46"/>
      <c r="E48" s="47"/>
      <c r="F48" s="44"/>
      <c r="G48" s="44"/>
      <c r="H48" s="44"/>
      <c r="I48" s="44"/>
      <c r="J48" s="44"/>
      <c r="K48" s="44"/>
      <c r="L48" s="44"/>
      <c r="M48" s="44"/>
      <c r="N48" s="48"/>
      <c r="O48" s="44"/>
      <c r="P48" s="44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</row>
    <row r="49" spans="1:35" ht="13.5" customHeight="1">
      <c r="A49" s="7"/>
      <c r="B49" s="7"/>
      <c r="C49" s="49"/>
      <c r="D49" s="50"/>
      <c r="E49" s="5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</row>
    <row r="50" spans="1:35" ht="13.5" customHeight="1">
      <c r="A50" s="7"/>
      <c r="B50" s="7"/>
      <c r="C50" s="49"/>
      <c r="D50" s="50"/>
      <c r="E50" s="5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</row>
    <row r="51" spans="1:35" ht="13.5" customHeight="1">
      <c r="A51" s="7"/>
      <c r="B51" s="7"/>
      <c r="C51" s="49"/>
      <c r="D51" s="50"/>
      <c r="E51" s="5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</row>
    <row r="52" spans="1:35" ht="13.5" customHeight="1">
      <c r="A52" s="7"/>
      <c r="B52" s="7"/>
      <c r="C52" s="49"/>
      <c r="D52" s="50"/>
      <c r="E52" s="5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</row>
    <row r="53" spans="1:35" ht="13.5" customHeight="1">
      <c r="A53" s="7"/>
      <c r="B53" s="7"/>
      <c r="C53" s="49"/>
      <c r="D53" s="50"/>
      <c r="E53" s="5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</row>
    <row r="54" spans="1:35" ht="13.5" customHeight="1">
      <c r="A54" s="7"/>
      <c r="B54" s="7"/>
      <c r="C54" s="49"/>
      <c r="D54" s="50"/>
      <c r="E54" s="5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</row>
    <row r="55" spans="1:35" ht="13.5" customHeight="1">
      <c r="A55" s="7"/>
      <c r="B55" s="7"/>
      <c r="C55" s="49"/>
      <c r="D55" s="50"/>
      <c r="E55" s="5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</row>
    <row r="56" spans="1:35" ht="13.5" customHeight="1">
      <c r="A56" s="7"/>
      <c r="B56" s="7"/>
      <c r="C56" s="49"/>
      <c r="D56" s="50"/>
      <c r="E56" s="5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</row>
    <row r="57" spans="1:35" ht="13.5" customHeight="1">
      <c r="A57" s="7"/>
      <c r="B57" s="7"/>
      <c r="C57" s="49"/>
      <c r="D57" s="50"/>
      <c r="E57" s="5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</row>
    <row r="58" spans="1:35" ht="13.5" customHeight="1">
      <c r="A58" s="7"/>
      <c r="B58" s="7"/>
      <c r="C58" s="49"/>
      <c r="D58" s="50"/>
      <c r="E58" s="5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</row>
    <row r="59" spans="1:35" ht="13.5" customHeight="1">
      <c r="A59" s="7"/>
      <c r="B59" s="7"/>
      <c r="C59" s="49"/>
      <c r="D59" s="50"/>
      <c r="E59" s="5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</row>
    <row r="60" spans="1:35" ht="13.5" customHeight="1">
      <c r="A60" s="7"/>
      <c r="B60" s="7"/>
      <c r="C60" s="49"/>
      <c r="D60" s="50"/>
      <c r="E60" s="5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</row>
    <row r="61" spans="1:35" ht="13.5" customHeight="1">
      <c r="A61" s="7"/>
      <c r="B61" s="7"/>
      <c r="C61" s="49"/>
      <c r="D61" s="50"/>
      <c r="E61" s="5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</row>
    <row r="62" spans="1:35" ht="13.5" customHeight="1">
      <c r="A62" s="7"/>
      <c r="B62" s="7"/>
      <c r="C62" s="49"/>
      <c r="D62" s="50"/>
      <c r="E62" s="5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</row>
    <row r="63" spans="1:35" ht="13.5" customHeight="1">
      <c r="A63" s="7"/>
      <c r="B63" s="7"/>
      <c r="C63" s="49"/>
      <c r="D63" s="50"/>
      <c r="E63" s="5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</row>
    <row r="64" spans="1:35" ht="13.5" customHeight="1">
      <c r="A64" s="7"/>
      <c r="B64" s="7"/>
      <c r="C64" s="49"/>
      <c r="D64" s="50"/>
      <c r="E64" s="5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</row>
    <row r="65" spans="1:35" ht="13.5" customHeight="1">
      <c r="A65" s="7"/>
      <c r="B65" s="7"/>
      <c r="C65" s="49"/>
      <c r="D65" s="50"/>
      <c r="E65" s="5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</row>
    <row r="66" spans="1:35" ht="13.5" customHeight="1">
      <c r="A66" s="7"/>
      <c r="B66" s="7"/>
      <c r="C66" s="49"/>
      <c r="D66" s="50"/>
      <c r="E66" s="5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</row>
    <row r="67" spans="1:35" ht="15.75" customHeight="1"/>
    <row r="68" spans="1:35" ht="15.75" customHeight="1"/>
    <row r="69" spans="1:35" ht="15.75" customHeight="1"/>
    <row r="70" spans="1:35" ht="15.75" customHeight="1"/>
    <row r="71" spans="1:35" ht="15.75" customHeight="1"/>
    <row r="72" spans="1:35" ht="15.75" customHeight="1"/>
    <row r="73" spans="1:35" ht="15.75" customHeight="1"/>
    <row r="74" spans="1:35" ht="15.75" customHeight="1"/>
    <row r="75" spans="1:35" ht="15.75" customHeight="1"/>
    <row r="76" spans="1:35" ht="15.75" customHeight="1"/>
    <row r="77" spans="1:35" ht="15.75" customHeight="1"/>
    <row r="78" spans="1:35" ht="15.75" customHeight="1"/>
    <row r="79" spans="1:35" ht="15.75" customHeight="1"/>
    <row r="80" spans="1:3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N1:N45"/>
  <mergeCells count="16">
    <mergeCell ref="N47:P47"/>
    <mergeCell ref="J4:J5"/>
    <mergeCell ref="K4:K5"/>
    <mergeCell ref="A6:C6"/>
    <mergeCell ref="D3:E3"/>
    <mergeCell ref="D4:E4"/>
    <mergeCell ref="A4:A5"/>
    <mergeCell ref="I4:I5"/>
    <mergeCell ref="L4:L5"/>
    <mergeCell ref="M4:M5"/>
    <mergeCell ref="P4:P5"/>
    <mergeCell ref="O4:O5"/>
    <mergeCell ref="B4:B5"/>
    <mergeCell ref="C4:C5"/>
    <mergeCell ref="H4:H5"/>
    <mergeCell ref="G4:G5"/>
  </mergeCells>
  <conditionalFormatting sqref="C7:C8">
    <cfRule type="cellIs" dxfId="5" priority="1" stopIfTrue="1" operator="lessThan">
      <formula>59280</formula>
    </cfRule>
  </conditionalFormatting>
  <conditionalFormatting sqref="C7:C8">
    <cfRule type="cellIs" dxfId="4" priority="2" stopIfTrue="1" operator="lessThan">
      <formula>56780</formula>
    </cfRule>
  </conditionalFormatting>
  <conditionalFormatting sqref="C7:C8">
    <cfRule type="cellIs" dxfId="3" priority="3" stopIfTrue="1" operator="lessThan">
      <formula>50200</formula>
    </cfRule>
  </conditionalFormatting>
  <conditionalFormatting sqref="A7:A20 A22:A4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 verticalCentered="1"/>
  <pageMargins left="0.57999999999999996" right="0.78" top="0.27" bottom="0.27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100"/>
  <sheetViews>
    <sheetView tabSelected="1" topLeftCell="C1" zoomScale="50" zoomScaleNormal="50" workbookViewId="0">
      <selection activeCell="P7" sqref="P7:P44"/>
    </sheetView>
  </sheetViews>
  <sheetFormatPr defaultColWidth="14.42578125" defaultRowHeight="15" customHeight="1"/>
  <cols>
    <col min="1" max="1" width="20.140625" customWidth="1"/>
    <col min="2" max="2" width="22.7109375" customWidth="1"/>
    <col min="3" max="3" width="35.85546875" customWidth="1"/>
    <col min="4" max="16" width="16.7109375" customWidth="1"/>
    <col min="17" max="35" width="11.140625" customWidth="1"/>
  </cols>
  <sheetData>
    <row r="1" spans="1:35" ht="100.5" customHeight="1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5" ht="42" customHeight="1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4" t="s">
        <v>1</v>
      </c>
      <c r="O2" s="4" t="s">
        <v>2</v>
      </c>
      <c r="P2" s="4" t="s">
        <v>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20.25" customHeight="1">
      <c r="A3" s="2"/>
      <c r="B3" s="2"/>
      <c r="C3" s="2"/>
      <c r="D3" s="82">
        <v>1</v>
      </c>
      <c r="E3" s="81"/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6" t="s">
        <v>4</v>
      </c>
      <c r="O3" s="2" t="s">
        <v>5</v>
      </c>
      <c r="P3" s="2" t="s">
        <v>6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31.5" customHeight="1">
      <c r="A4" s="75" t="s">
        <v>7</v>
      </c>
      <c r="B4" s="75" t="s">
        <v>8</v>
      </c>
      <c r="C4" s="75" t="s">
        <v>9</v>
      </c>
      <c r="D4" s="83" t="s">
        <v>10</v>
      </c>
      <c r="E4" s="81"/>
      <c r="F4" s="6"/>
      <c r="G4" s="75" t="s">
        <v>11</v>
      </c>
      <c r="H4" s="75" t="s">
        <v>12</v>
      </c>
      <c r="I4" s="75" t="s">
        <v>12</v>
      </c>
      <c r="J4" s="75" t="s">
        <v>13</v>
      </c>
      <c r="K4" s="75" t="s">
        <v>14</v>
      </c>
      <c r="L4" s="73" t="s">
        <v>15</v>
      </c>
      <c r="M4" s="75" t="s">
        <v>16</v>
      </c>
      <c r="N4" s="6" t="s">
        <v>17</v>
      </c>
      <c r="O4" s="75" t="s">
        <v>18</v>
      </c>
      <c r="P4" s="75" t="s">
        <v>19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78" customHeight="1">
      <c r="A5" s="74"/>
      <c r="B5" s="74"/>
      <c r="C5" s="74"/>
      <c r="D5" s="6" t="s">
        <v>20</v>
      </c>
      <c r="E5" s="6" t="s">
        <v>21</v>
      </c>
      <c r="F5" s="6" t="s">
        <v>22</v>
      </c>
      <c r="G5" s="74"/>
      <c r="H5" s="74"/>
      <c r="I5" s="74"/>
      <c r="J5" s="74"/>
      <c r="K5" s="74"/>
      <c r="L5" s="74"/>
      <c r="M5" s="74"/>
      <c r="N5" s="6"/>
      <c r="O5" s="74"/>
      <c r="P5" s="7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24.75" customHeight="1">
      <c r="A6" s="79" t="s">
        <v>23</v>
      </c>
      <c r="B6" s="80"/>
      <c r="C6" s="81"/>
      <c r="D6" s="2">
        <v>60</v>
      </c>
      <c r="E6" s="2">
        <v>22</v>
      </c>
      <c r="F6" s="2">
        <f t="shared" ref="F6:F44" si="0">SUM(D6:E6)</f>
        <v>82</v>
      </c>
      <c r="G6" s="2">
        <f t="shared" ref="G6:G44" si="1">ROUNDUP(F6*100/$F$6,0)</f>
        <v>100</v>
      </c>
      <c r="H6" s="2">
        <v>5</v>
      </c>
      <c r="I6" s="2">
        <v>15</v>
      </c>
      <c r="J6" s="52">
        <v>20</v>
      </c>
      <c r="K6" s="2">
        <v>20</v>
      </c>
      <c r="L6" s="2">
        <f t="shared" ref="L6:L44" si="2">MAX(J6:K6)</f>
        <v>20</v>
      </c>
      <c r="M6" s="2">
        <v>5</v>
      </c>
      <c r="N6" s="2">
        <v>20</v>
      </c>
      <c r="O6" s="2">
        <v>10</v>
      </c>
      <c r="P6" s="2">
        <v>20</v>
      </c>
      <c r="Q6" s="9">
        <f t="shared" ref="Q6:Q44" si="3">N6+O6</f>
        <v>30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24.75" customHeight="1">
      <c r="A7" s="53" t="s">
        <v>144</v>
      </c>
      <c r="B7" s="54" t="s">
        <v>145</v>
      </c>
      <c r="C7" s="55" t="s">
        <v>146</v>
      </c>
      <c r="D7" s="56">
        <v>53</v>
      </c>
      <c r="E7" s="57">
        <v>16</v>
      </c>
      <c r="F7" s="58">
        <f t="shared" si="0"/>
        <v>69</v>
      </c>
      <c r="G7" s="59">
        <f t="shared" si="1"/>
        <v>85</v>
      </c>
      <c r="H7" s="2" t="str">
        <f t="shared" ref="H7:H44" si="4">IF(G7&gt;=75,"5",IF(G7&gt;=60,"4",IF(G7&gt;=50,"3",IF(G7&gt;=40,"2","1"))))</f>
        <v>5</v>
      </c>
      <c r="I7" s="58">
        <f t="shared" ref="I7:I44" si="5">H7*3</f>
        <v>15</v>
      </c>
      <c r="J7" s="52">
        <v>20</v>
      </c>
      <c r="K7" s="60">
        <v>0</v>
      </c>
      <c r="L7" s="61">
        <f t="shared" si="2"/>
        <v>20</v>
      </c>
      <c r="M7" s="58" t="str">
        <f t="shared" ref="M7:M44" si="6">IF(G7&gt;=50,"5",IF(G7&gt;=30,"4","3"))</f>
        <v>5</v>
      </c>
      <c r="N7" s="61">
        <f t="shared" ref="N7:N44" si="7">L7</f>
        <v>20</v>
      </c>
      <c r="O7" s="61">
        <f t="shared" ref="O7:O44" si="8">H7+M7</f>
        <v>10</v>
      </c>
      <c r="P7" s="61">
        <f t="shared" ref="P7:P44" si="9">I7+M7</f>
        <v>20</v>
      </c>
      <c r="Q7" s="21">
        <f t="shared" si="3"/>
        <v>30</v>
      </c>
    </row>
    <row r="8" spans="1:35" ht="24.75" customHeight="1">
      <c r="A8" s="53" t="s">
        <v>147</v>
      </c>
      <c r="B8" s="54" t="s">
        <v>148</v>
      </c>
      <c r="C8" s="55" t="s">
        <v>149</v>
      </c>
      <c r="D8" s="62">
        <v>58</v>
      </c>
      <c r="E8" s="63">
        <v>20</v>
      </c>
      <c r="F8" s="58">
        <f t="shared" si="0"/>
        <v>78</v>
      </c>
      <c r="G8" s="59">
        <f t="shared" si="1"/>
        <v>96</v>
      </c>
      <c r="H8" s="2" t="str">
        <f t="shared" si="4"/>
        <v>5</v>
      </c>
      <c r="I8" s="58">
        <f t="shared" si="5"/>
        <v>15</v>
      </c>
      <c r="J8" s="64">
        <v>20</v>
      </c>
      <c r="K8" s="65">
        <v>0</v>
      </c>
      <c r="L8" s="61">
        <f t="shared" si="2"/>
        <v>20</v>
      </c>
      <c r="M8" s="58" t="str">
        <f t="shared" si="6"/>
        <v>5</v>
      </c>
      <c r="N8" s="61">
        <f t="shared" si="7"/>
        <v>20</v>
      </c>
      <c r="O8" s="61">
        <f t="shared" si="8"/>
        <v>10</v>
      </c>
      <c r="P8" s="61">
        <f t="shared" si="9"/>
        <v>20</v>
      </c>
      <c r="Q8" s="21">
        <f t="shared" si="3"/>
        <v>30</v>
      </c>
    </row>
    <row r="9" spans="1:35" ht="24.75" customHeight="1">
      <c r="A9" s="53" t="s">
        <v>150</v>
      </c>
      <c r="B9" s="54" t="s">
        <v>151</v>
      </c>
      <c r="C9" s="55" t="s">
        <v>152</v>
      </c>
      <c r="D9" s="62">
        <v>58</v>
      </c>
      <c r="E9" s="63">
        <v>18</v>
      </c>
      <c r="F9" s="58">
        <f t="shared" si="0"/>
        <v>76</v>
      </c>
      <c r="G9" s="59">
        <f t="shared" si="1"/>
        <v>93</v>
      </c>
      <c r="H9" s="2" t="str">
        <f t="shared" si="4"/>
        <v>5</v>
      </c>
      <c r="I9" s="58">
        <f t="shared" si="5"/>
        <v>15</v>
      </c>
      <c r="J9" s="66">
        <v>20</v>
      </c>
      <c r="K9" s="65">
        <v>0</v>
      </c>
      <c r="L9" s="61">
        <f t="shared" si="2"/>
        <v>20</v>
      </c>
      <c r="M9" s="58" t="str">
        <f t="shared" si="6"/>
        <v>5</v>
      </c>
      <c r="N9" s="61">
        <f t="shared" si="7"/>
        <v>20</v>
      </c>
      <c r="O9" s="61">
        <f t="shared" si="8"/>
        <v>10</v>
      </c>
      <c r="P9" s="61">
        <f t="shared" si="9"/>
        <v>20</v>
      </c>
      <c r="Q9" s="21">
        <f t="shared" si="3"/>
        <v>30</v>
      </c>
    </row>
    <row r="10" spans="1:35" ht="24.75" customHeight="1">
      <c r="A10" s="53" t="s">
        <v>153</v>
      </c>
      <c r="B10" s="54" t="s">
        <v>154</v>
      </c>
      <c r="C10" s="55" t="s">
        <v>155</v>
      </c>
      <c r="D10" s="62">
        <v>48</v>
      </c>
      <c r="E10" s="63">
        <v>16</v>
      </c>
      <c r="F10" s="58">
        <f t="shared" si="0"/>
        <v>64</v>
      </c>
      <c r="G10" s="59">
        <f t="shared" si="1"/>
        <v>79</v>
      </c>
      <c r="H10" s="2" t="str">
        <f t="shared" si="4"/>
        <v>5</v>
      </c>
      <c r="I10" s="58">
        <f t="shared" si="5"/>
        <v>15</v>
      </c>
      <c r="J10" s="64">
        <v>20</v>
      </c>
      <c r="K10" s="65">
        <v>0</v>
      </c>
      <c r="L10" s="61">
        <f t="shared" si="2"/>
        <v>20</v>
      </c>
      <c r="M10" s="58" t="str">
        <f t="shared" si="6"/>
        <v>5</v>
      </c>
      <c r="N10" s="61">
        <f t="shared" si="7"/>
        <v>20</v>
      </c>
      <c r="O10" s="61">
        <f t="shared" si="8"/>
        <v>10</v>
      </c>
      <c r="P10" s="61">
        <f t="shared" si="9"/>
        <v>20</v>
      </c>
      <c r="Q10" s="21">
        <f t="shared" si="3"/>
        <v>30</v>
      </c>
    </row>
    <row r="11" spans="1:35" ht="24.75" customHeight="1">
      <c r="A11" s="53" t="s">
        <v>156</v>
      </c>
      <c r="B11" s="54" t="s">
        <v>157</v>
      </c>
      <c r="C11" s="55" t="s">
        <v>158</v>
      </c>
      <c r="D11" s="62">
        <v>41</v>
      </c>
      <c r="E11" s="63">
        <v>12</v>
      </c>
      <c r="F11" s="58">
        <f t="shared" si="0"/>
        <v>53</v>
      </c>
      <c r="G11" s="59">
        <f t="shared" si="1"/>
        <v>65</v>
      </c>
      <c r="H11" s="2" t="str">
        <f t="shared" si="4"/>
        <v>4</v>
      </c>
      <c r="I11" s="58">
        <f t="shared" si="5"/>
        <v>12</v>
      </c>
      <c r="J11" s="66">
        <v>13</v>
      </c>
      <c r="K11" s="65">
        <v>0</v>
      </c>
      <c r="L11" s="61">
        <f t="shared" si="2"/>
        <v>13</v>
      </c>
      <c r="M11" s="58" t="str">
        <f t="shared" si="6"/>
        <v>5</v>
      </c>
      <c r="N11" s="61">
        <f t="shared" si="7"/>
        <v>13</v>
      </c>
      <c r="O11" s="61">
        <f t="shared" si="8"/>
        <v>9</v>
      </c>
      <c r="P11" s="61">
        <f t="shared" si="9"/>
        <v>17</v>
      </c>
      <c r="Q11" s="21">
        <f t="shared" si="3"/>
        <v>22</v>
      </c>
    </row>
    <row r="12" spans="1:35" ht="24.75" customHeight="1">
      <c r="A12" s="53" t="s">
        <v>159</v>
      </c>
      <c r="B12" s="54" t="s">
        <v>160</v>
      </c>
      <c r="C12" s="55" t="s">
        <v>161</v>
      </c>
      <c r="D12" s="62">
        <v>50</v>
      </c>
      <c r="E12" s="63">
        <v>14</v>
      </c>
      <c r="F12" s="58">
        <f t="shared" si="0"/>
        <v>64</v>
      </c>
      <c r="G12" s="59">
        <f t="shared" si="1"/>
        <v>79</v>
      </c>
      <c r="H12" s="2" t="str">
        <f t="shared" si="4"/>
        <v>5</v>
      </c>
      <c r="I12" s="58">
        <f t="shared" si="5"/>
        <v>15</v>
      </c>
      <c r="J12" s="64">
        <v>12</v>
      </c>
      <c r="K12" s="65">
        <v>0</v>
      </c>
      <c r="L12" s="61">
        <f t="shared" si="2"/>
        <v>12</v>
      </c>
      <c r="M12" s="58" t="str">
        <f t="shared" si="6"/>
        <v>5</v>
      </c>
      <c r="N12" s="61">
        <f t="shared" si="7"/>
        <v>12</v>
      </c>
      <c r="O12" s="61">
        <f t="shared" si="8"/>
        <v>10</v>
      </c>
      <c r="P12" s="61">
        <f t="shared" si="9"/>
        <v>20</v>
      </c>
      <c r="Q12" s="21">
        <f t="shared" si="3"/>
        <v>22</v>
      </c>
    </row>
    <row r="13" spans="1:35" ht="24.75" customHeight="1">
      <c r="A13" s="53" t="s">
        <v>162</v>
      </c>
      <c r="B13" s="54" t="s">
        <v>163</v>
      </c>
      <c r="C13" s="55" t="s">
        <v>164</v>
      </c>
      <c r="D13" s="62">
        <v>56</v>
      </c>
      <c r="E13" s="63">
        <v>22</v>
      </c>
      <c r="F13" s="58">
        <f t="shared" si="0"/>
        <v>78</v>
      </c>
      <c r="G13" s="59">
        <f t="shared" si="1"/>
        <v>96</v>
      </c>
      <c r="H13" s="2" t="str">
        <f t="shared" si="4"/>
        <v>5</v>
      </c>
      <c r="I13" s="58">
        <f t="shared" si="5"/>
        <v>15</v>
      </c>
      <c r="J13" s="64">
        <v>20</v>
      </c>
      <c r="K13" s="65">
        <v>0</v>
      </c>
      <c r="L13" s="61">
        <f t="shared" si="2"/>
        <v>20</v>
      </c>
      <c r="M13" s="58" t="str">
        <f t="shared" si="6"/>
        <v>5</v>
      </c>
      <c r="N13" s="61">
        <f t="shared" si="7"/>
        <v>20</v>
      </c>
      <c r="O13" s="61">
        <f t="shared" si="8"/>
        <v>10</v>
      </c>
      <c r="P13" s="61">
        <f t="shared" si="9"/>
        <v>20</v>
      </c>
      <c r="Q13" s="21">
        <f t="shared" si="3"/>
        <v>30</v>
      </c>
    </row>
    <row r="14" spans="1:35" ht="24.75" customHeight="1">
      <c r="A14" s="53" t="s">
        <v>165</v>
      </c>
      <c r="B14" s="54" t="s">
        <v>166</v>
      </c>
      <c r="C14" s="55" t="s">
        <v>167</v>
      </c>
      <c r="D14" s="62">
        <v>48</v>
      </c>
      <c r="E14" s="63">
        <v>18</v>
      </c>
      <c r="F14" s="58">
        <f t="shared" si="0"/>
        <v>66</v>
      </c>
      <c r="G14" s="59">
        <f t="shared" si="1"/>
        <v>81</v>
      </c>
      <c r="H14" s="2" t="str">
        <f t="shared" si="4"/>
        <v>5</v>
      </c>
      <c r="I14" s="58">
        <f t="shared" si="5"/>
        <v>15</v>
      </c>
      <c r="J14" s="64">
        <v>16</v>
      </c>
      <c r="K14" s="65">
        <v>0</v>
      </c>
      <c r="L14" s="61">
        <f t="shared" si="2"/>
        <v>16</v>
      </c>
      <c r="M14" s="58" t="str">
        <f t="shared" si="6"/>
        <v>5</v>
      </c>
      <c r="N14" s="61">
        <f t="shared" si="7"/>
        <v>16</v>
      </c>
      <c r="O14" s="61">
        <f t="shared" si="8"/>
        <v>10</v>
      </c>
      <c r="P14" s="61">
        <f t="shared" si="9"/>
        <v>20</v>
      </c>
      <c r="Q14" s="21">
        <f t="shared" si="3"/>
        <v>26</v>
      </c>
    </row>
    <row r="15" spans="1:35" ht="24.75" customHeight="1">
      <c r="A15" s="53" t="s">
        <v>168</v>
      </c>
      <c r="B15" s="54" t="s">
        <v>169</v>
      </c>
      <c r="C15" s="55" t="s">
        <v>170</v>
      </c>
      <c r="D15" s="62">
        <v>48</v>
      </c>
      <c r="E15" s="63">
        <v>16</v>
      </c>
      <c r="F15" s="58">
        <f t="shared" si="0"/>
        <v>64</v>
      </c>
      <c r="G15" s="59">
        <f t="shared" si="1"/>
        <v>79</v>
      </c>
      <c r="H15" s="2" t="str">
        <f t="shared" si="4"/>
        <v>5</v>
      </c>
      <c r="I15" s="58">
        <f t="shared" si="5"/>
        <v>15</v>
      </c>
      <c r="J15" s="64">
        <v>18</v>
      </c>
      <c r="K15" s="65">
        <v>0</v>
      </c>
      <c r="L15" s="61">
        <f t="shared" si="2"/>
        <v>18</v>
      </c>
      <c r="M15" s="58" t="str">
        <f t="shared" si="6"/>
        <v>5</v>
      </c>
      <c r="N15" s="61">
        <f t="shared" si="7"/>
        <v>18</v>
      </c>
      <c r="O15" s="61">
        <f t="shared" si="8"/>
        <v>10</v>
      </c>
      <c r="P15" s="61">
        <f t="shared" si="9"/>
        <v>20</v>
      </c>
      <c r="Q15" s="21">
        <f t="shared" si="3"/>
        <v>28</v>
      </c>
    </row>
    <row r="16" spans="1:35" ht="24.75" customHeight="1">
      <c r="A16" s="53" t="s">
        <v>171</v>
      </c>
      <c r="B16" s="54" t="s">
        <v>172</v>
      </c>
      <c r="C16" s="55" t="s">
        <v>173</v>
      </c>
      <c r="D16" s="62">
        <v>55</v>
      </c>
      <c r="E16" s="63">
        <v>16</v>
      </c>
      <c r="F16" s="58">
        <f t="shared" si="0"/>
        <v>71</v>
      </c>
      <c r="G16" s="59">
        <f t="shared" si="1"/>
        <v>87</v>
      </c>
      <c r="H16" s="2" t="str">
        <f t="shared" si="4"/>
        <v>5</v>
      </c>
      <c r="I16" s="58">
        <f t="shared" si="5"/>
        <v>15</v>
      </c>
      <c r="J16" s="64">
        <v>20</v>
      </c>
      <c r="K16" s="65">
        <v>0</v>
      </c>
      <c r="L16" s="61">
        <f t="shared" si="2"/>
        <v>20</v>
      </c>
      <c r="M16" s="58" t="str">
        <f t="shared" si="6"/>
        <v>5</v>
      </c>
      <c r="N16" s="61">
        <f t="shared" si="7"/>
        <v>20</v>
      </c>
      <c r="O16" s="61">
        <f t="shared" si="8"/>
        <v>10</v>
      </c>
      <c r="P16" s="61">
        <f t="shared" si="9"/>
        <v>20</v>
      </c>
      <c r="Q16" s="21">
        <f t="shared" si="3"/>
        <v>30</v>
      </c>
    </row>
    <row r="17" spans="1:17" ht="24.75" customHeight="1">
      <c r="A17" s="53" t="s">
        <v>174</v>
      </c>
      <c r="B17" s="54" t="s">
        <v>175</v>
      </c>
      <c r="C17" s="55" t="s">
        <v>176</v>
      </c>
      <c r="D17" s="62">
        <v>58</v>
      </c>
      <c r="E17" s="63">
        <v>18</v>
      </c>
      <c r="F17" s="58">
        <f t="shared" si="0"/>
        <v>76</v>
      </c>
      <c r="G17" s="59">
        <f t="shared" si="1"/>
        <v>93</v>
      </c>
      <c r="H17" s="2" t="str">
        <f t="shared" si="4"/>
        <v>5</v>
      </c>
      <c r="I17" s="58">
        <f t="shared" si="5"/>
        <v>15</v>
      </c>
      <c r="J17" s="64">
        <v>20</v>
      </c>
      <c r="K17" s="65">
        <v>0</v>
      </c>
      <c r="L17" s="61">
        <f t="shared" si="2"/>
        <v>20</v>
      </c>
      <c r="M17" s="58" t="str">
        <f t="shared" si="6"/>
        <v>5</v>
      </c>
      <c r="N17" s="61">
        <f t="shared" si="7"/>
        <v>20</v>
      </c>
      <c r="O17" s="61">
        <f t="shared" si="8"/>
        <v>10</v>
      </c>
      <c r="P17" s="61">
        <f t="shared" si="9"/>
        <v>20</v>
      </c>
      <c r="Q17" s="21">
        <f t="shared" si="3"/>
        <v>30</v>
      </c>
    </row>
    <row r="18" spans="1:17" ht="24.75" customHeight="1">
      <c r="A18" s="53" t="s">
        <v>177</v>
      </c>
      <c r="B18" s="54" t="s">
        <v>178</v>
      </c>
      <c r="C18" s="55" t="s">
        <v>179</v>
      </c>
      <c r="D18" s="62">
        <v>51</v>
      </c>
      <c r="E18" s="63">
        <v>18</v>
      </c>
      <c r="F18" s="58">
        <f t="shared" si="0"/>
        <v>69</v>
      </c>
      <c r="G18" s="59">
        <f t="shared" si="1"/>
        <v>85</v>
      </c>
      <c r="H18" s="2" t="str">
        <f t="shared" si="4"/>
        <v>5</v>
      </c>
      <c r="I18" s="58">
        <f t="shared" si="5"/>
        <v>15</v>
      </c>
      <c r="J18" s="64">
        <v>20</v>
      </c>
      <c r="K18" s="65">
        <v>0</v>
      </c>
      <c r="L18" s="61">
        <f t="shared" si="2"/>
        <v>20</v>
      </c>
      <c r="M18" s="58" t="str">
        <f t="shared" si="6"/>
        <v>5</v>
      </c>
      <c r="N18" s="61">
        <f t="shared" si="7"/>
        <v>20</v>
      </c>
      <c r="O18" s="61">
        <f t="shared" si="8"/>
        <v>10</v>
      </c>
      <c r="P18" s="61">
        <f t="shared" si="9"/>
        <v>20</v>
      </c>
      <c r="Q18" s="21">
        <f t="shared" si="3"/>
        <v>30</v>
      </c>
    </row>
    <row r="19" spans="1:17" ht="24.75" customHeight="1">
      <c r="A19" s="53" t="s">
        <v>180</v>
      </c>
      <c r="B19" s="54" t="s">
        <v>181</v>
      </c>
      <c r="C19" s="55" t="s">
        <v>182</v>
      </c>
      <c r="D19" s="62">
        <v>44</v>
      </c>
      <c r="E19" s="63">
        <v>16</v>
      </c>
      <c r="F19" s="58">
        <f t="shared" si="0"/>
        <v>60</v>
      </c>
      <c r="G19" s="59">
        <f t="shared" si="1"/>
        <v>74</v>
      </c>
      <c r="H19" s="2" t="str">
        <f t="shared" si="4"/>
        <v>4</v>
      </c>
      <c r="I19" s="58">
        <f t="shared" si="5"/>
        <v>12</v>
      </c>
      <c r="J19" s="64">
        <v>19</v>
      </c>
      <c r="K19" s="65">
        <v>0</v>
      </c>
      <c r="L19" s="61">
        <f t="shared" si="2"/>
        <v>19</v>
      </c>
      <c r="M19" s="58" t="str">
        <f t="shared" si="6"/>
        <v>5</v>
      </c>
      <c r="N19" s="61">
        <f t="shared" si="7"/>
        <v>19</v>
      </c>
      <c r="O19" s="61">
        <f t="shared" si="8"/>
        <v>9</v>
      </c>
      <c r="P19" s="61">
        <f t="shared" si="9"/>
        <v>17</v>
      </c>
      <c r="Q19" s="21">
        <f t="shared" si="3"/>
        <v>28</v>
      </c>
    </row>
    <row r="20" spans="1:17" ht="24.75" customHeight="1">
      <c r="A20" s="53" t="s">
        <v>183</v>
      </c>
      <c r="B20" s="54" t="s">
        <v>184</v>
      </c>
      <c r="C20" s="55" t="s">
        <v>185</v>
      </c>
      <c r="D20" s="62">
        <v>39</v>
      </c>
      <c r="E20" s="63">
        <v>12</v>
      </c>
      <c r="F20" s="58">
        <f t="shared" si="0"/>
        <v>51</v>
      </c>
      <c r="G20" s="59">
        <f t="shared" si="1"/>
        <v>63</v>
      </c>
      <c r="H20" s="2" t="str">
        <f t="shared" si="4"/>
        <v>4</v>
      </c>
      <c r="I20" s="58">
        <f t="shared" si="5"/>
        <v>12</v>
      </c>
      <c r="J20" s="67"/>
      <c r="K20" s="65">
        <v>20</v>
      </c>
      <c r="L20" s="61">
        <f t="shared" si="2"/>
        <v>20</v>
      </c>
      <c r="M20" s="58" t="str">
        <f t="shared" si="6"/>
        <v>5</v>
      </c>
      <c r="N20" s="61">
        <f t="shared" si="7"/>
        <v>20</v>
      </c>
      <c r="O20" s="61">
        <f t="shared" si="8"/>
        <v>9</v>
      </c>
      <c r="P20" s="61">
        <f t="shared" si="9"/>
        <v>17</v>
      </c>
      <c r="Q20" s="21">
        <f t="shared" si="3"/>
        <v>29</v>
      </c>
    </row>
    <row r="21" spans="1:17" ht="24.75" customHeight="1">
      <c r="A21" s="53" t="s">
        <v>186</v>
      </c>
      <c r="B21" s="54" t="s">
        <v>187</v>
      </c>
      <c r="C21" s="55" t="s">
        <v>188</v>
      </c>
      <c r="D21" s="62">
        <v>44</v>
      </c>
      <c r="E21" s="63">
        <v>14</v>
      </c>
      <c r="F21" s="58">
        <f t="shared" si="0"/>
        <v>58</v>
      </c>
      <c r="G21" s="59">
        <f t="shared" si="1"/>
        <v>71</v>
      </c>
      <c r="H21" s="2" t="str">
        <f t="shared" si="4"/>
        <v>4</v>
      </c>
      <c r="I21" s="58">
        <f t="shared" si="5"/>
        <v>12</v>
      </c>
      <c r="J21" s="64">
        <v>20</v>
      </c>
      <c r="K21" s="65">
        <v>0</v>
      </c>
      <c r="L21" s="61">
        <f t="shared" si="2"/>
        <v>20</v>
      </c>
      <c r="M21" s="58" t="str">
        <f t="shared" si="6"/>
        <v>5</v>
      </c>
      <c r="N21" s="61">
        <f t="shared" si="7"/>
        <v>20</v>
      </c>
      <c r="O21" s="61">
        <f t="shared" si="8"/>
        <v>9</v>
      </c>
      <c r="P21" s="61">
        <f t="shared" si="9"/>
        <v>17</v>
      </c>
      <c r="Q21" s="21">
        <f t="shared" si="3"/>
        <v>29</v>
      </c>
    </row>
    <row r="22" spans="1:17" ht="24.75" customHeight="1">
      <c r="A22" s="53" t="s">
        <v>189</v>
      </c>
      <c r="B22" s="54" t="s">
        <v>190</v>
      </c>
      <c r="C22" s="55" t="s">
        <v>191</v>
      </c>
      <c r="D22" s="62">
        <v>54</v>
      </c>
      <c r="E22" s="63">
        <v>14</v>
      </c>
      <c r="F22" s="58">
        <f t="shared" si="0"/>
        <v>68</v>
      </c>
      <c r="G22" s="59">
        <f t="shared" si="1"/>
        <v>83</v>
      </c>
      <c r="H22" s="2" t="str">
        <f t="shared" si="4"/>
        <v>5</v>
      </c>
      <c r="I22" s="58">
        <f t="shared" si="5"/>
        <v>15</v>
      </c>
      <c r="J22" s="64">
        <v>20</v>
      </c>
      <c r="K22" s="65">
        <v>0</v>
      </c>
      <c r="L22" s="61">
        <f t="shared" si="2"/>
        <v>20</v>
      </c>
      <c r="M22" s="58" t="str">
        <f t="shared" si="6"/>
        <v>5</v>
      </c>
      <c r="N22" s="61">
        <f t="shared" si="7"/>
        <v>20</v>
      </c>
      <c r="O22" s="61">
        <f t="shared" si="8"/>
        <v>10</v>
      </c>
      <c r="P22" s="61">
        <f t="shared" si="9"/>
        <v>20</v>
      </c>
      <c r="Q22" s="21">
        <f t="shared" si="3"/>
        <v>30</v>
      </c>
    </row>
    <row r="23" spans="1:17" ht="24.75" customHeight="1">
      <c r="A23" s="53" t="s">
        <v>192</v>
      </c>
      <c r="B23" s="54" t="s">
        <v>193</v>
      </c>
      <c r="C23" s="55" t="s">
        <v>194</v>
      </c>
      <c r="D23" s="68">
        <v>15</v>
      </c>
      <c r="E23" s="69">
        <v>6</v>
      </c>
      <c r="F23" s="58">
        <f t="shared" si="0"/>
        <v>21</v>
      </c>
      <c r="G23" s="59">
        <f t="shared" si="1"/>
        <v>26</v>
      </c>
      <c r="H23" s="2" t="str">
        <f t="shared" si="4"/>
        <v>1</v>
      </c>
      <c r="I23" s="58">
        <f t="shared" si="5"/>
        <v>3</v>
      </c>
      <c r="J23" s="67"/>
      <c r="K23" s="70">
        <v>0</v>
      </c>
      <c r="L23" s="61">
        <f t="shared" si="2"/>
        <v>0</v>
      </c>
      <c r="M23" s="58" t="str">
        <f t="shared" si="6"/>
        <v>3</v>
      </c>
      <c r="N23" s="61">
        <f t="shared" si="7"/>
        <v>0</v>
      </c>
      <c r="O23" s="61">
        <f t="shared" si="8"/>
        <v>4</v>
      </c>
      <c r="P23" s="61">
        <f t="shared" si="9"/>
        <v>6</v>
      </c>
      <c r="Q23" s="21">
        <f t="shared" si="3"/>
        <v>4</v>
      </c>
    </row>
    <row r="24" spans="1:17" ht="24.75" customHeight="1">
      <c r="A24" s="53" t="s">
        <v>195</v>
      </c>
      <c r="B24" s="54" t="s">
        <v>196</v>
      </c>
      <c r="C24" s="55" t="s">
        <v>197</v>
      </c>
      <c r="D24" s="62">
        <v>49</v>
      </c>
      <c r="E24" s="63">
        <v>16</v>
      </c>
      <c r="F24" s="58">
        <f t="shared" si="0"/>
        <v>65</v>
      </c>
      <c r="G24" s="59">
        <f t="shared" si="1"/>
        <v>80</v>
      </c>
      <c r="H24" s="2" t="str">
        <f t="shared" si="4"/>
        <v>5</v>
      </c>
      <c r="I24" s="58">
        <f t="shared" si="5"/>
        <v>15</v>
      </c>
      <c r="J24" s="64">
        <v>19</v>
      </c>
      <c r="K24" s="65">
        <v>0</v>
      </c>
      <c r="L24" s="61">
        <f t="shared" si="2"/>
        <v>19</v>
      </c>
      <c r="M24" s="58" t="str">
        <f t="shared" si="6"/>
        <v>5</v>
      </c>
      <c r="N24" s="61">
        <f t="shared" si="7"/>
        <v>19</v>
      </c>
      <c r="O24" s="61">
        <f t="shared" si="8"/>
        <v>10</v>
      </c>
      <c r="P24" s="61">
        <f t="shared" si="9"/>
        <v>20</v>
      </c>
      <c r="Q24" s="21">
        <f t="shared" si="3"/>
        <v>29</v>
      </c>
    </row>
    <row r="25" spans="1:17" ht="24.75" customHeight="1">
      <c r="A25" s="53" t="s">
        <v>198</v>
      </c>
      <c r="B25" s="54" t="s">
        <v>199</v>
      </c>
      <c r="C25" s="55" t="s">
        <v>200</v>
      </c>
      <c r="D25" s="62">
        <v>46</v>
      </c>
      <c r="E25" s="63">
        <v>18</v>
      </c>
      <c r="F25" s="58">
        <f t="shared" si="0"/>
        <v>64</v>
      </c>
      <c r="G25" s="59">
        <f t="shared" si="1"/>
        <v>79</v>
      </c>
      <c r="H25" s="2" t="str">
        <f t="shared" si="4"/>
        <v>5</v>
      </c>
      <c r="I25" s="58">
        <f t="shared" si="5"/>
        <v>15</v>
      </c>
      <c r="J25" s="66">
        <v>16</v>
      </c>
      <c r="K25" s="65">
        <v>0</v>
      </c>
      <c r="L25" s="61">
        <f t="shared" si="2"/>
        <v>16</v>
      </c>
      <c r="M25" s="58" t="str">
        <f t="shared" si="6"/>
        <v>5</v>
      </c>
      <c r="N25" s="61">
        <f t="shared" si="7"/>
        <v>16</v>
      </c>
      <c r="O25" s="61">
        <f t="shared" si="8"/>
        <v>10</v>
      </c>
      <c r="P25" s="61">
        <f t="shared" si="9"/>
        <v>20</v>
      </c>
      <c r="Q25" s="21">
        <f t="shared" si="3"/>
        <v>26</v>
      </c>
    </row>
    <row r="26" spans="1:17" ht="24.75" customHeight="1">
      <c r="A26" s="53" t="s">
        <v>201</v>
      </c>
      <c r="B26" s="54" t="s">
        <v>202</v>
      </c>
      <c r="C26" s="55" t="s">
        <v>203</v>
      </c>
      <c r="D26" s="62">
        <v>43</v>
      </c>
      <c r="E26" s="63">
        <v>18</v>
      </c>
      <c r="F26" s="58">
        <f t="shared" si="0"/>
        <v>61</v>
      </c>
      <c r="G26" s="59">
        <f t="shared" si="1"/>
        <v>75</v>
      </c>
      <c r="H26" s="2" t="str">
        <f t="shared" si="4"/>
        <v>5</v>
      </c>
      <c r="I26" s="58">
        <f t="shared" si="5"/>
        <v>15</v>
      </c>
      <c r="J26" s="64">
        <v>19</v>
      </c>
      <c r="K26" s="65">
        <v>0</v>
      </c>
      <c r="L26" s="61">
        <f t="shared" si="2"/>
        <v>19</v>
      </c>
      <c r="M26" s="58" t="str">
        <f t="shared" si="6"/>
        <v>5</v>
      </c>
      <c r="N26" s="61">
        <f t="shared" si="7"/>
        <v>19</v>
      </c>
      <c r="O26" s="61">
        <f t="shared" si="8"/>
        <v>10</v>
      </c>
      <c r="P26" s="61">
        <f t="shared" si="9"/>
        <v>20</v>
      </c>
      <c r="Q26" s="21">
        <f t="shared" si="3"/>
        <v>29</v>
      </c>
    </row>
    <row r="27" spans="1:17" ht="24.75" customHeight="1">
      <c r="A27" s="53" t="s">
        <v>204</v>
      </c>
      <c r="B27" s="54" t="s">
        <v>205</v>
      </c>
      <c r="C27" s="55" t="s">
        <v>206</v>
      </c>
      <c r="D27" s="62">
        <v>58</v>
      </c>
      <c r="E27" s="63">
        <v>20</v>
      </c>
      <c r="F27" s="58">
        <f t="shared" si="0"/>
        <v>78</v>
      </c>
      <c r="G27" s="59">
        <f t="shared" si="1"/>
        <v>96</v>
      </c>
      <c r="H27" s="2" t="str">
        <f t="shared" si="4"/>
        <v>5</v>
      </c>
      <c r="I27" s="58">
        <f t="shared" si="5"/>
        <v>15</v>
      </c>
      <c r="J27" s="64">
        <v>20</v>
      </c>
      <c r="K27" s="65">
        <v>0</v>
      </c>
      <c r="L27" s="61">
        <f t="shared" si="2"/>
        <v>20</v>
      </c>
      <c r="M27" s="58" t="str">
        <f t="shared" si="6"/>
        <v>5</v>
      </c>
      <c r="N27" s="61">
        <f t="shared" si="7"/>
        <v>20</v>
      </c>
      <c r="O27" s="61">
        <f t="shared" si="8"/>
        <v>10</v>
      </c>
      <c r="P27" s="61">
        <f t="shared" si="9"/>
        <v>20</v>
      </c>
      <c r="Q27" s="21">
        <f t="shared" si="3"/>
        <v>30</v>
      </c>
    </row>
    <row r="28" spans="1:17" ht="24.75" customHeight="1">
      <c r="A28" s="53" t="s">
        <v>207</v>
      </c>
      <c r="B28" s="54" t="s">
        <v>208</v>
      </c>
      <c r="C28" s="55" t="s">
        <v>209</v>
      </c>
      <c r="D28" s="62">
        <v>51</v>
      </c>
      <c r="E28" s="63">
        <v>16</v>
      </c>
      <c r="F28" s="58">
        <f t="shared" si="0"/>
        <v>67</v>
      </c>
      <c r="G28" s="59">
        <f t="shared" si="1"/>
        <v>82</v>
      </c>
      <c r="H28" s="2" t="str">
        <f t="shared" si="4"/>
        <v>5</v>
      </c>
      <c r="I28" s="58">
        <f t="shared" si="5"/>
        <v>15</v>
      </c>
      <c r="J28" s="64">
        <v>20</v>
      </c>
      <c r="K28" s="65">
        <v>0</v>
      </c>
      <c r="L28" s="61">
        <f t="shared" si="2"/>
        <v>20</v>
      </c>
      <c r="M28" s="58" t="str">
        <f t="shared" si="6"/>
        <v>5</v>
      </c>
      <c r="N28" s="61">
        <f t="shared" si="7"/>
        <v>20</v>
      </c>
      <c r="O28" s="61">
        <f t="shared" si="8"/>
        <v>10</v>
      </c>
      <c r="P28" s="61">
        <f t="shared" si="9"/>
        <v>20</v>
      </c>
      <c r="Q28" s="21">
        <f t="shared" si="3"/>
        <v>30</v>
      </c>
    </row>
    <row r="29" spans="1:17" ht="24.75" customHeight="1">
      <c r="A29" s="53" t="s">
        <v>210</v>
      </c>
      <c r="B29" s="54" t="s">
        <v>211</v>
      </c>
      <c r="C29" s="55" t="s">
        <v>212</v>
      </c>
      <c r="D29" s="62">
        <v>52</v>
      </c>
      <c r="E29" s="63">
        <v>18</v>
      </c>
      <c r="F29" s="58">
        <f t="shared" si="0"/>
        <v>70</v>
      </c>
      <c r="G29" s="59">
        <f t="shared" si="1"/>
        <v>86</v>
      </c>
      <c r="H29" s="2" t="str">
        <f t="shared" si="4"/>
        <v>5</v>
      </c>
      <c r="I29" s="58">
        <f t="shared" si="5"/>
        <v>15</v>
      </c>
      <c r="J29" s="71">
        <v>20</v>
      </c>
      <c r="K29" s="65">
        <v>0</v>
      </c>
      <c r="L29" s="61">
        <f t="shared" si="2"/>
        <v>20</v>
      </c>
      <c r="M29" s="58" t="str">
        <f t="shared" si="6"/>
        <v>5</v>
      </c>
      <c r="N29" s="61">
        <f t="shared" si="7"/>
        <v>20</v>
      </c>
      <c r="O29" s="61">
        <f t="shared" si="8"/>
        <v>10</v>
      </c>
      <c r="P29" s="61">
        <f t="shared" si="9"/>
        <v>20</v>
      </c>
      <c r="Q29" s="21">
        <f t="shared" si="3"/>
        <v>30</v>
      </c>
    </row>
    <row r="30" spans="1:17" ht="24.75" customHeight="1">
      <c r="A30" s="53" t="s">
        <v>213</v>
      </c>
      <c r="B30" s="54" t="s">
        <v>214</v>
      </c>
      <c r="C30" s="55" t="s">
        <v>215</v>
      </c>
      <c r="D30" s="62">
        <v>51</v>
      </c>
      <c r="E30" s="63">
        <v>16</v>
      </c>
      <c r="F30" s="58">
        <f t="shared" si="0"/>
        <v>67</v>
      </c>
      <c r="G30" s="59">
        <f t="shared" si="1"/>
        <v>82</v>
      </c>
      <c r="H30" s="2" t="str">
        <f t="shared" si="4"/>
        <v>5</v>
      </c>
      <c r="I30" s="58">
        <f t="shared" si="5"/>
        <v>15</v>
      </c>
      <c r="J30" s="64">
        <v>20</v>
      </c>
      <c r="K30" s="65">
        <v>0</v>
      </c>
      <c r="L30" s="61">
        <f t="shared" si="2"/>
        <v>20</v>
      </c>
      <c r="M30" s="58" t="str">
        <f t="shared" si="6"/>
        <v>5</v>
      </c>
      <c r="N30" s="61">
        <f t="shared" si="7"/>
        <v>20</v>
      </c>
      <c r="O30" s="61">
        <f t="shared" si="8"/>
        <v>10</v>
      </c>
      <c r="P30" s="61">
        <f t="shared" si="9"/>
        <v>20</v>
      </c>
      <c r="Q30" s="21">
        <f t="shared" si="3"/>
        <v>30</v>
      </c>
    </row>
    <row r="31" spans="1:17" ht="24.75" customHeight="1">
      <c r="A31" s="53" t="s">
        <v>216</v>
      </c>
      <c r="B31" s="54" t="s">
        <v>217</v>
      </c>
      <c r="C31" s="55" t="s">
        <v>218</v>
      </c>
      <c r="D31" s="62">
        <v>46</v>
      </c>
      <c r="E31" s="63">
        <v>14</v>
      </c>
      <c r="F31" s="58">
        <f t="shared" si="0"/>
        <v>60</v>
      </c>
      <c r="G31" s="59">
        <f t="shared" si="1"/>
        <v>74</v>
      </c>
      <c r="H31" s="2" t="str">
        <f t="shared" si="4"/>
        <v>4</v>
      </c>
      <c r="I31" s="58">
        <f t="shared" si="5"/>
        <v>12</v>
      </c>
      <c r="J31" s="64">
        <v>20</v>
      </c>
      <c r="K31" s="65">
        <v>0</v>
      </c>
      <c r="L31" s="61">
        <f t="shared" si="2"/>
        <v>20</v>
      </c>
      <c r="M31" s="58" t="str">
        <f t="shared" si="6"/>
        <v>5</v>
      </c>
      <c r="N31" s="61">
        <f t="shared" si="7"/>
        <v>20</v>
      </c>
      <c r="O31" s="61">
        <f t="shared" si="8"/>
        <v>9</v>
      </c>
      <c r="P31" s="61">
        <f t="shared" si="9"/>
        <v>17</v>
      </c>
      <c r="Q31" s="21">
        <f t="shared" si="3"/>
        <v>29</v>
      </c>
    </row>
    <row r="32" spans="1:17" ht="24.75" customHeight="1">
      <c r="A32" s="53" t="s">
        <v>219</v>
      </c>
      <c r="B32" s="54" t="s">
        <v>220</v>
      </c>
      <c r="C32" s="55" t="s">
        <v>221</v>
      </c>
      <c r="D32" s="62">
        <v>54</v>
      </c>
      <c r="E32" s="63">
        <v>20</v>
      </c>
      <c r="F32" s="58">
        <f t="shared" si="0"/>
        <v>74</v>
      </c>
      <c r="G32" s="59">
        <f t="shared" si="1"/>
        <v>91</v>
      </c>
      <c r="H32" s="2" t="str">
        <f t="shared" si="4"/>
        <v>5</v>
      </c>
      <c r="I32" s="58">
        <f t="shared" si="5"/>
        <v>15</v>
      </c>
      <c r="J32" s="64">
        <v>20</v>
      </c>
      <c r="K32" s="65">
        <v>0</v>
      </c>
      <c r="L32" s="61">
        <f t="shared" si="2"/>
        <v>20</v>
      </c>
      <c r="M32" s="58" t="str">
        <f t="shared" si="6"/>
        <v>5</v>
      </c>
      <c r="N32" s="61">
        <f t="shared" si="7"/>
        <v>20</v>
      </c>
      <c r="O32" s="61">
        <f t="shared" si="8"/>
        <v>10</v>
      </c>
      <c r="P32" s="61">
        <f t="shared" si="9"/>
        <v>20</v>
      </c>
      <c r="Q32" s="21">
        <f t="shared" si="3"/>
        <v>30</v>
      </c>
    </row>
    <row r="33" spans="1:35" ht="24.75" customHeight="1">
      <c r="A33" s="53" t="s">
        <v>222</v>
      </c>
      <c r="B33" s="54" t="s">
        <v>223</v>
      </c>
      <c r="C33" s="55" t="s">
        <v>224</v>
      </c>
      <c r="D33" s="62">
        <v>50</v>
      </c>
      <c r="E33" s="63">
        <v>18</v>
      </c>
      <c r="F33" s="58">
        <f t="shared" si="0"/>
        <v>68</v>
      </c>
      <c r="G33" s="59">
        <f t="shared" si="1"/>
        <v>83</v>
      </c>
      <c r="H33" s="2" t="str">
        <f t="shared" si="4"/>
        <v>5</v>
      </c>
      <c r="I33" s="58">
        <f t="shared" si="5"/>
        <v>15</v>
      </c>
      <c r="J33" s="71">
        <v>20</v>
      </c>
      <c r="K33" s="65">
        <v>7</v>
      </c>
      <c r="L33" s="61">
        <f t="shared" si="2"/>
        <v>20</v>
      </c>
      <c r="M33" s="58" t="str">
        <f t="shared" si="6"/>
        <v>5</v>
      </c>
      <c r="N33" s="61">
        <f t="shared" si="7"/>
        <v>20</v>
      </c>
      <c r="O33" s="61">
        <f t="shared" si="8"/>
        <v>10</v>
      </c>
      <c r="P33" s="61">
        <f t="shared" si="9"/>
        <v>20</v>
      </c>
      <c r="Q33" s="21">
        <f t="shared" si="3"/>
        <v>30</v>
      </c>
    </row>
    <row r="34" spans="1:35" ht="24.75" customHeight="1">
      <c r="A34" s="53" t="s">
        <v>225</v>
      </c>
      <c r="B34" s="54" t="s">
        <v>226</v>
      </c>
      <c r="C34" s="55" t="s">
        <v>227</v>
      </c>
      <c r="D34" s="62">
        <v>53</v>
      </c>
      <c r="E34" s="63">
        <v>18</v>
      </c>
      <c r="F34" s="58">
        <f t="shared" si="0"/>
        <v>71</v>
      </c>
      <c r="G34" s="59">
        <f t="shared" si="1"/>
        <v>87</v>
      </c>
      <c r="H34" s="2" t="str">
        <f t="shared" si="4"/>
        <v>5</v>
      </c>
      <c r="I34" s="58">
        <f t="shared" si="5"/>
        <v>15</v>
      </c>
      <c r="J34" s="64">
        <v>18</v>
      </c>
      <c r="K34" s="65">
        <v>0</v>
      </c>
      <c r="L34" s="61">
        <f t="shared" si="2"/>
        <v>18</v>
      </c>
      <c r="M34" s="58" t="str">
        <f t="shared" si="6"/>
        <v>5</v>
      </c>
      <c r="N34" s="61">
        <f t="shared" si="7"/>
        <v>18</v>
      </c>
      <c r="O34" s="61">
        <f t="shared" si="8"/>
        <v>10</v>
      </c>
      <c r="P34" s="61">
        <f t="shared" si="9"/>
        <v>20</v>
      </c>
      <c r="Q34" s="21">
        <f t="shared" si="3"/>
        <v>28</v>
      </c>
    </row>
    <row r="35" spans="1:35" ht="24.75" customHeight="1">
      <c r="A35" s="53" t="s">
        <v>228</v>
      </c>
      <c r="B35" s="54" t="s">
        <v>229</v>
      </c>
      <c r="C35" s="55" t="s">
        <v>230</v>
      </c>
      <c r="D35" s="62">
        <v>30</v>
      </c>
      <c r="E35" s="63">
        <v>10</v>
      </c>
      <c r="F35" s="58">
        <f t="shared" si="0"/>
        <v>40</v>
      </c>
      <c r="G35" s="59">
        <f t="shared" si="1"/>
        <v>49</v>
      </c>
      <c r="H35" s="2" t="str">
        <f t="shared" si="4"/>
        <v>2</v>
      </c>
      <c r="I35" s="58">
        <f t="shared" si="5"/>
        <v>6</v>
      </c>
      <c r="J35" s="71">
        <v>14</v>
      </c>
      <c r="K35" s="65">
        <v>0</v>
      </c>
      <c r="L35" s="61">
        <f t="shared" si="2"/>
        <v>14</v>
      </c>
      <c r="M35" s="58" t="str">
        <f t="shared" si="6"/>
        <v>4</v>
      </c>
      <c r="N35" s="61">
        <f t="shared" si="7"/>
        <v>14</v>
      </c>
      <c r="O35" s="61">
        <f t="shared" si="8"/>
        <v>6</v>
      </c>
      <c r="P35" s="61">
        <f t="shared" si="9"/>
        <v>10</v>
      </c>
      <c r="Q35" s="21">
        <f t="shared" si="3"/>
        <v>20</v>
      </c>
    </row>
    <row r="36" spans="1:35" ht="24.75" customHeight="1">
      <c r="A36" s="53" t="s">
        <v>231</v>
      </c>
      <c r="B36" s="54" t="s">
        <v>232</v>
      </c>
      <c r="C36" s="55" t="s">
        <v>233</v>
      </c>
      <c r="D36" s="62">
        <v>40</v>
      </c>
      <c r="E36" s="63">
        <v>12</v>
      </c>
      <c r="F36" s="58">
        <f t="shared" si="0"/>
        <v>52</v>
      </c>
      <c r="G36" s="59">
        <f t="shared" si="1"/>
        <v>64</v>
      </c>
      <c r="H36" s="2" t="str">
        <f t="shared" si="4"/>
        <v>4</v>
      </c>
      <c r="I36" s="58">
        <f t="shared" si="5"/>
        <v>12</v>
      </c>
      <c r="J36" s="64">
        <v>20</v>
      </c>
      <c r="K36" s="65">
        <v>0</v>
      </c>
      <c r="L36" s="61">
        <f t="shared" si="2"/>
        <v>20</v>
      </c>
      <c r="M36" s="58" t="str">
        <f t="shared" si="6"/>
        <v>5</v>
      </c>
      <c r="N36" s="61">
        <f t="shared" si="7"/>
        <v>20</v>
      </c>
      <c r="O36" s="61">
        <f t="shared" si="8"/>
        <v>9</v>
      </c>
      <c r="P36" s="61">
        <f t="shared" si="9"/>
        <v>17</v>
      </c>
      <c r="Q36" s="21">
        <f t="shared" si="3"/>
        <v>29</v>
      </c>
    </row>
    <row r="37" spans="1:35" ht="24.75" customHeight="1">
      <c r="A37" s="53" t="s">
        <v>234</v>
      </c>
      <c r="B37" s="54" t="s">
        <v>235</v>
      </c>
      <c r="C37" s="55" t="s">
        <v>236</v>
      </c>
      <c r="D37" s="62">
        <v>51</v>
      </c>
      <c r="E37" s="63">
        <v>18</v>
      </c>
      <c r="F37" s="58">
        <f t="shared" si="0"/>
        <v>69</v>
      </c>
      <c r="G37" s="59">
        <f t="shared" si="1"/>
        <v>85</v>
      </c>
      <c r="H37" s="2" t="str">
        <f t="shared" si="4"/>
        <v>5</v>
      </c>
      <c r="I37" s="58">
        <f t="shared" si="5"/>
        <v>15</v>
      </c>
      <c r="J37" s="64">
        <v>19</v>
      </c>
      <c r="K37" s="65">
        <v>0</v>
      </c>
      <c r="L37" s="61">
        <f t="shared" si="2"/>
        <v>19</v>
      </c>
      <c r="M37" s="58" t="str">
        <f t="shared" si="6"/>
        <v>5</v>
      </c>
      <c r="N37" s="61">
        <f t="shared" si="7"/>
        <v>19</v>
      </c>
      <c r="O37" s="61">
        <f t="shared" si="8"/>
        <v>10</v>
      </c>
      <c r="P37" s="61">
        <f t="shared" si="9"/>
        <v>20</v>
      </c>
      <c r="Q37" s="21">
        <f t="shared" si="3"/>
        <v>29</v>
      </c>
    </row>
    <row r="38" spans="1:35" ht="24.75" customHeight="1">
      <c r="A38" s="53" t="s">
        <v>237</v>
      </c>
      <c r="B38" s="54" t="s">
        <v>238</v>
      </c>
      <c r="C38" s="55" t="s">
        <v>239</v>
      </c>
      <c r="D38" s="62">
        <v>43</v>
      </c>
      <c r="E38" s="63">
        <v>16</v>
      </c>
      <c r="F38" s="58">
        <f t="shared" si="0"/>
        <v>59</v>
      </c>
      <c r="G38" s="59">
        <f t="shared" si="1"/>
        <v>72</v>
      </c>
      <c r="H38" s="2" t="str">
        <f t="shared" si="4"/>
        <v>4</v>
      </c>
      <c r="I38" s="58">
        <f t="shared" si="5"/>
        <v>12</v>
      </c>
      <c r="J38" s="71">
        <v>12</v>
      </c>
      <c r="K38" s="65">
        <v>17</v>
      </c>
      <c r="L38" s="61">
        <f t="shared" si="2"/>
        <v>17</v>
      </c>
      <c r="M38" s="58" t="str">
        <f t="shared" si="6"/>
        <v>5</v>
      </c>
      <c r="N38" s="61">
        <f t="shared" si="7"/>
        <v>17</v>
      </c>
      <c r="O38" s="61">
        <f t="shared" si="8"/>
        <v>9</v>
      </c>
      <c r="P38" s="61">
        <f t="shared" si="9"/>
        <v>17</v>
      </c>
      <c r="Q38" s="21">
        <f t="shared" si="3"/>
        <v>26</v>
      </c>
    </row>
    <row r="39" spans="1:35" ht="24.75" customHeight="1">
      <c r="A39" s="53" t="s">
        <v>240</v>
      </c>
      <c r="B39" s="54" t="s">
        <v>241</v>
      </c>
      <c r="C39" s="55" t="s">
        <v>242</v>
      </c>
      <c r="D39" s="62">
        <v>51</v>
      </c>
      <c r="E39" s="63">
        <v>18</v>
      </c>
      <c r="F39" s="58">
        <f t="shared" si="0"/>
        <v>69</v>
      </c>
      <c r="G39" s="59">
        <f t="shared" si="1"/>
        <v>85</v>
      </c>
      <c r="H39" s="2" t="str">
        <f t="shared" si="4"/>
        <v>5</v>
      </c>
      <c r="I39" s="58">
        <f t="shared" si="5"/>
        <v>15</v>
      </c>
      <c r="J39" s="66">
        <v>20</v>
      </c>
      <c r="K39" s="65">
        <v>0</v>
      </c>
      <c r="L39" s="61">
        <f t="shared" si="2"/>
        <v>20</v>
      </c>
      <c r="M39" s="58" t="str">
        <f t="shared" si="6"/>
        <v>5</v>
      </c>
      <c r="N39" s="61">
        <f t="shared" si="7"/>
        <v>20</v>
      </c>
      <c r="O39" s="61">
        <f t="shared" si="8"/>
        <v>10</v>
      </c>
      <c r="P39" s="61">
        <f t="shared" si="9"/>
        <v>20</v>
      </c>
      <c r="Q39" s="21">
        <f t="shared" si="3"/>
        <v>30</v>
      </c>
    </row>
    <row r="40" spans="1:35" ht="24.75" customHeight="1">
      <c r="A40" s="53" t="s">
        <v>243</v>
      </c>
      <c r="B40" s="54" t="s">
        <v>244</v>
      </c>
      <c r="C40" s="55" t="s">
        <v>245</v>
      </c>
      <c r="D40" s="62">
        <v>28</v>
      </c>
      <c r="E40" s="63">
        <v>8</v>
      </c>
      <c r="F40" s="58">
        <f t="shared" si="0"/>
        <v>36</v>
      </c>
      <c r="G40" s="59">
        <f t="shared" si="1"/>
        <v>44</v>
      </c>
      <c r="H40" s="2" t="str">
        <f t="shared" si="4"/>
        <v>2</v>
      </c>
      <c r="I40" s="58">
        <f t="shared" si="5"/>
        <v>6</v>
      </c>
      <c r="J40" s="64">
        <v>9</v>
      </c>
      <c r="K40" s="72">
        <v>14</v>
      </c>
      <c r="L40" s="61">
        <f t="shared" si="2"/>
        <v>14</v>
      </c>
      <c r="M40" s="58" t="str">
        <f t="shared" si="6"/>
        <v>4</v>
      </c>
      <c r="N40" s="61">
        <f t="shared" si="7"/>
        <v>14</v>
      </c>
      <c r="O40" s="61">
        <f t="shared" si="8"/>
        <v>6</v>
      </c>
      <c r="P40" s="61">
        <f t="shared" si="9"/>
        <v>10</v>
      </c>
      <c r="Q40" s="21">
        <f t="shared" si="3"/>
        <v>20</v>
      </c>
    </row>
    <row r="41" spans="1:35" ht="24.75" customHeight="1">
      <c r="A41" s="53" t="s">
        <v>246</v>
      </c>
      <c r="B41" s="54" t="s">
        <v>247</v>
      </c>
      <c r="C41" s="55" t="s">
        <v>248</v>
      </c>
      <c r="D41" s="62">
        <v>46</v>
      </c>
      <c r="E41" s="63">
        <v>16</v>
      </c>
      <c r="F41" s="58">
        <f t="shared" si="0"/>
        <v>62</v>
      </c>
      <c r="G41" s="59">
        <f t="shared" si="1"/>
        <v>76</v>
      </c>
      <c r="H41" s="2" t="str">
        <f t="shared" si="4"/>
        <v>5</v>
      </c>
      <c r="I41" s="58">
        <f t="shared" si="5"/>
        <v>15</v>
      </c>
      <c r="J41" s="71">
        <v>19</v>
      </c>
      <c r="K41" s="65">
        <v>0</v>
      </c>
      <c r="L41" s="61">
        <f t="shared" si="2"/>
        <v>19</v>
      </c>
      <c r="M41" s="58" t="str">
        <f t="shared" si="6"/>
        <v>5</v>
      </c>
      <c r="N41" s="61">
        <f t="shared" si="7"/>
        <v>19</v>
      </c>
      <c r="O41" s="61">
        <f t="shared" si="8"/>
        <v>10</v>
      </c>
      <c r="P41" s="61">
        <f t="shared" si="9"/>
        <v>20</v>
      </c>
      <c r="Q41" s="21">
        <f t="shared" si="3"/>
        <v>29</v>
      </c>
    </row>
    <row r="42" spans="1:35" ht="24.75" customHeight="1">
      <c r="A42" s="53" t="s">
        <v>249</v>
      </c>
      <c r="B42" s="54" t="s">
        <v>250</v>
      </c>
      <c r="C42" s="55" t="s">
        <v>251</v>
      </c>
      <c r="D42" s="62">
        <v>39</v>
      </c>
      <c r="E42" s="63">
        <v>18</v>
      </c>
      <c r="F42" s="58">
        <f t="shared" si="0"/>
        <v>57</v>
      </c>
      <c r="G42" s="59">
        <f t="shared" si="1"/>
        <v>70</v>
      </c>
      <c r="H42" s="2" t="str">
        <f t="shared" si="4"/>
        <v>4</v>
      </c>
      <c r="I42" s="58">
        <f t="shared" si="5"/>
        <v>12</v>
      </c>
      <c r="J42" s="71">
        <v>20</v>
      </c>
      <c r="K42" s="65">
        <v>0</v>
      </c>
      <c r="L42" s="61">
        <f t="shared" si="2"/>
        <v>20</v>
      </c>
      <c r="M42" s="58" t="str">
        <f t="shared" si="6"/>
        <v>5</v>
      </c>
      <c r="N42" s="61">
        <f t="shared" si="7"/>
        <v>20</v>
      </c>
      <c r="O42" s="61">
        <f t="shared" si="8"/>
        <v>9</v>
      </c>
      <c r="P42" s="61">
        <f t="shared" si="9"/>
        <v>17</v>
      </c>
      <c r="Q42" s="21">
        <f t="shared" si="3"/>
        <v>29</v>
      </c>
    </row>
    <row r="43" spans="1:35" ht="24.75" customHeight="1">
      <c r="A43" s="53" t="s">
        <v>252</v>
      </c>
      <c r="B43" s="54" t="s">
        <v>253</v>
      </c>
      <c r="C43" s="55" t="s">
        <v>254</v>
      </c>
      <c r="D43" s="62">
        <v>53</v>
      </c>
      <c r="E43" s="63">
        <v>18</v>
      </c>
      <c r="F43" s="58">
        <f t="shared" si="0"/>
        <v>71</v>
      </c>
      <c r="G43" s="59">
        <f t="shared" si="1"/>
        <v>87</v>
      </c>
      <c r="H43" s="2" t="str">
        <f t="shared" si="4"/>
        <v>5</v>
      </c>
      <c r="I43" s="58">
        <f t="shared" si="5"/>
        <v>15</v>
      </c>
      <c r="J43" s="66">
        <v>18</v>
      </c>
      <c r="K43" s="65">
        <v>0</v>
      </c>
      <c r="L43" s="61">
        <f t="shared" si="2"/>
        <v>18</v>
      </c>
      <c r="M43" s="58" t="str">
        <f t="shared" si="6"/>
        <v>5</v>
      </c>
      <c r="N43" s="61">
        <f t="shared" si="7"/>
        <v>18</v>
      </c>
      <c r="O43" s="61">
        <f t="shared" si="8"/>
        <v>10</v>
      </c>
      <c r="P43" s="61">
        <f t="shared" si="9"/>
        <v>20</v>
      </c>
      <c r="Q43" s="21">
        <f t="shared" si="3"/>
        <v>28</v>
      </c>
    </row>
    <row r="44" spans="1:35" ht="24.75" customHeight="1">
      <c r="A44" s="53" t="s">
        <v>255</v>
      </c>
      <c r="B44" s="54" t="s">
        <v>256</v>
      </c>
      <c r="C44" s="55" t="s">
        <v>257</v>
      </c>
      <c r="D44" s="62">
        <v>37</v>
      </c>
      <c r="E44" s="63">
        <v>12</v>
      </c>
      <c r="F44" s="58">
        <f t="shared" si="0"/>
        <v>49</v>
      </c>
      <c r="G44" s="59">
        <f t="shared" si="1"/>
        <v>60</v>
      </c>
      <c r="H44" s="2" t="str">
        <f t="shared" si="4"/>
        <v>4</v>
      </c>
      <c r="I44" s="58">
        <f t="shared" si="5"/>
        <v>12</v>
      </c>
      <c r="J44" s="71">
        <v>0</v>
      </c>
      <c r="K44" s="65">
        <v>18</v>
      </c>
      <c r="L44" s="61">
        <f t="shared" si="2"/>
        <v>18</v>
      </c>
      <c r="M44" s="58" t="str">
        <f t="shared" si="6"/>
        <v>5</v>
      </c>
      <c r="N44" s="61">
        <f t="shared" si="7"/>
        <v>18</v>
      </c>
      <c r="O44" s="61">
        <f t="shared" si="8"/>
        <v>9</v>
      </c>
      <c r="P44" s="61">
        <f t="shared" si="9"/>
        <v>17</v>
      </c>
      <c r="Q44" s="21">
        <f t="shared" si="3"/>
        <v>27</v>
      </c>
    </row>
    <row r="45" spans="1:35" ht="24.75" customHeight="1">
      <c r="A45" s="37"/>
      <c r="B45" s="38"/>
      <c r="C45" s="39"/>
      <c r="D45" s="40"/>
      <c r="E45" s="38"/>
      <c r="F45" s="38"/>
      <c r="G45" s="38"/>
      <c r="H45" s="40"/>
      <c r="I45" s="38"/>
      <c r="J45" s="38"/>
      <c r="K45" s="40"/>
      <c r="L45" s="38"/>
      <c r="M45" s="38"/>
      <c r="N45" s="38"/>
      <c r="O45" s="38"/>
      <c r="P45" s="38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</row>
    <row r="46" spans="1:35" ht="24.75" customHeight="1">
      <c r="A46" s="42" t="s">
        <v>140</v>
      </c>
      <c r="B46" s="43" t="s">
        <v>141</v>
      </c>
      <c r="C46" s="39"/>
      <c r="D46" s="40"/>
      <c r="E46" s="38"/>
      <c r="F46" s="38"/>
      <c r="G46" s="38"/>
      <c r="H46" s="40"/>
      <c r="I46" s="38"/>
      <c r="J46" s="38"/>
      <c r="K46" s="40"/>
      <c r="L46" s="38"/>
      <c r="M46" s="38"/>
      <c r="N46" s="76" t="s">
        <v>142</v>
      </c>
      <c r="O46" s="77"/>
      <c r="P46" s="78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</row>
    <row r="47" spans="1:35" ht="13.5" customHeight="1">
      <c r="A47" s="44"/>
      <c r="B47" s="44"/>
      <c r="C47" s="45"/>
      <c r="D47" s="46"/>
      <c r="E47" s="47"/>
      <c r="F47" s="44"/>
      <c r="G47" s="44"/>
      <c r="H47" s="44"/>
      <c r="I47" s="44"/>
      <c r="J47" s="44"/>
      <c r="K47" s="44"/>
      <c r="L47" s="44"/>
      <c r="M47" s="44"/>
      <c r="N47" s="48"/>
      <c r="O47" s="44"/>
      <c r="P47" s="44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</row>
    <row r="48" spans="1:35" ht="13.5" customHeight="1">
      <c r="A48" s="7"/>
      <c r="B48" s="7"/>
      <c r="C48" s="49"/>
      <c r="D48" s="50"/>
      <c r="E48" s="5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</row>
    <row r="49" spans="1:35" ht="13.5" customHeight="1">
      <c r="A49" s="7"/>
      <c r="B49" s="7"/>
      <c r="C49" s="49"/>
      <c r="D49" s="50"/>
      <c r="E49" s="5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</row>
    <row r="50" spans="1:35" ht="13.5" customHeight="1">
      <c r="A50" s="7"/>
      <c r="B50" s="7"/>
      <c r="C50" s="49"/>
      <c r="D50" s="50"/>
      <c r="E50" s="5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</row>
    <row r="51" spans="1:35" ht="13.5" customHeight="1">
      <c r="A51" s="7"/>
      <c r="B51" s="7"/>
      <c r="C51" s="49"/>
      <c r="D51" s="50"/>
      <c r="E51" s="5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</row>
    <row r="52" spans="1:35" ht="13.5" customHeight="1">
      <c r="A52" s="7"/>
      <c r="B52" s="7"/>
      <c r="C52" s="49"/>
      <c r="D52" s="50"/>
      <c r="E52" s="5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</row>
    <row r="53" spans="1:35" ht="13.5" customHeight="1">
      <c r="A53" s="7"/>
      <c r="B53" s="7"/>
      <c r="C53" s="49"/>
      <c r="D53" s="50"/>
      <c r="E53" s="5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</row>
    <row r="54" spans="1:35" ht="13.5" customHeight="1">
      <c r="A54" s="7"/>
      <c r="B54" s="7"/>
      <c r="C54" s="49"/>
      <c r="D54" s="50"/>
      <c r="E54" s="5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</row>
    <row r="55" spans="1:35" ht="13.5" customHeight="1">
      <c r="A55" s="7"/>
      <c r="B55" s="7"/>
      <c r="C55" s="49"/>
      <c r="D55" s="50"/>
      <c r="E55" s="5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</row>
    <row r="56" spans="1:35" ht="13.5" customHeight="1">
      <c r="A56" s="7"/>
      <c r="B56" s="7"/>
      <c r="C56" s="49"/>
      <c r="D56" s="50"/>
      <c r="E56" s="5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</row>
    <row r="57" spans="1:35" ht="13.5" customHeight="1">
      <c r="A57" s="7"/>
      <c r="B57" s="7"/>
      <c r="C57" s="49"/>
      <c r="D57" s="50"/>
      <c r="E57" s="5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</row>
    <row r="58" spans="1:35" ht="13.5" customHeight="1">
      <c r="A58" s="7"/>
      <c r="B58" s="7"/>
      <c r="C58" s="49"/>
      <c r="D58" s="50"/>
      <c r="E58" s="5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</row>
    <row r="59" spans="1:35" ht="13.5" customHeight="1">
      <c r="A59" s="7"/>
      <c r="B59" s="7"/>
      <c r="C59" s="49"/>
      <c r="D59" s="50"/>
      <c r="E59" s="5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</row>
    <row r="60" spans="1:35" ht="13.5" customHeight="1">
      <c r="A60" s="7"/>
      <c r="B60" s="7"/>
      <c r="C60" s="49"/>
      <c r="D60" s="50"/>
      <c r="E60" s="5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</row>
    <row r="61" spans="1:35" ht="13.5" customHeight="1">
      <c r="A61" s="7"/>
      <c r="B61" s="7"/>
      <c r="C61" s="49"/>
      <c r="D61" s="50"/>
      <c r="E61" s="5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</row>
    <row r="62" spans="1:35" ht="13.5" customHeight="1">
      <c r="A62" s="7"/>
      <c r="B62" s="7"/>
      <c r="C62" s="49"/>
      <c r="D62" s="50"/>
      <c r="E62" s="5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</row>
    <row r="63" spans="1:35" ht="13.5" customHeight="1">
      <c r="A63" s="7"/>
      <c r="B63" s="7"/>
      <c r="C63" s="49"/>
      <c r="D63" s="50"/>
      <c r="E63" s="5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</row>
    <row r="64" spans="1:35" ht="13.5" customHeight="1">
      <c r="A64" s="7"/>
      <c r="B64" s="7"/>
      <c r="C64" s="49"/>
      <c r="D64" s="50"/>
      <c r="E64" s="5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</row>
    <row r="65" spans="1:35" ht="13.5" customHeight="1">
      <c r="A65" s="7"/>
      <c r="B65" s="7"/>
      <c r="C65" s="49"/>
      <c r="D65" s="50"/>
      <c r="E65" s="5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</row>
    <row r="66" spans="1:35" ht="15.75" customHeight="1"/>
    <row r="67" spans="1:35" ht="15.75" customHeight="1"/>
    <row r="68" spans="1:35" ht="15.75" customHeight="1"/>
    <row r="69" spans="1:35" ht="15.75" customHeight="1"/>
    <row r="70" spans="1:35" ht="15.75" customHeight="1"/>
    <row r="71" spans="1:35" ht="15.75" customHeight="1"/>
    <row r="72" spans="1:35" ht="15.75" customHeight="1"/>
    <row r="73" spans="1:35" ht="15.75" customHeight="1"/>
    <row r="74" spans="1:35" ht="15.75" customHeight="1"/>
    <row r="75" spans="1:35" ht="15.75" customHeight="1"/>
    <row r="76" spans="1:35" ht="15.75" customHeight="1"/>
    <row r="77" spans="1:35" ht="15.75" customHeight="1"/>
    <row r="78" spans="1:35" ht="15.75" customHeight="1"/>
    <row r="79" spans="1:35" ht="15.75" customHeight="1"/>
    <row r="80" spans="1:3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N1:N44"/>
  <mergeCells count="16">
    <mergeCell ref="D3:E3"/>
    <mergeCell ref="J4:J5"/>
    <mergeCell ref="G4:G5"/>
    <mergeCell ref="H4:H5"/>
    <mergeCell ref="I4:I5"/>
    <mergeCell ref="N46:P46"/>
    <mergeCell ref="K4:K5"/>
    <mergeCell ref="L4:L5"/>
    <mergeCell ref="M4:M5"/>
    <mergeCell ref="O4:O5"/>
    <mergeCell ref="P4:P5"/>
    <mergeCell ref="A6:C6"/>
    <mergeCell ref="A4:A5"/>
    <mergeCell ref="B4:B5"/>
    <mergeCell ref="C4:C5"/>
    <mergeCell ref="D4:E4"/>
  </mergeCells>
  <conditionalFormatting sqref="C7:C8">
    <cfRule type="cellIs" dxfId="2" priority="1" stopIfTrue="1" operator="lessThan">
      <formula>59280</formula>
    </cfRule>
  </conditionalFormatting>
  <conditionalFormatting sqref="C7:C8">
    <cfRule type="cellIs" dxfId="1" priority="2" stopIfTrue="1" operator="lessThan">
      <formula>56780</formula>
    </cfRule>
  </conditionalFormatting>
  <conditionalFormatting sqref="C7:C8">
    <cfRule type="cellIs" dxfId="0" priority="3" stopIfTrue="1" operator="lessThan">
      <formula>50200</formula>
    </cfRule>
  </conditionalFormatting>
  <conditionalFormatting sqref="A7:A4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7:A20 A22:A4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 verticalCentered="1"/>
  <pageMargins left="0.57999999999999996" right="0.78" top="0.27" bottom="0.27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BATCH-1</vt:lpstr>
      <vt:lpstr>BATCH-2</vt:lpstr>
      <vt:lpstr>'BATCH-1'!_FilterDatabase_1</vt:lpstr>
      <vt:lpstr>'BATCH-2'!_FilterDatabase_1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cp:lastPrinted>2025-01-07T04:49:41Z</cp:lastPrinted>
  <dcterms:created xsi:type="dcterms:W3CDTF">2022-01-11T09:45:22Z</dcterms:created>
  <dcterms:modified xsi:type="dcterms:W3CDTF">2025-10-14T10:45:33Z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09F6E99C4BE047B0A1974030ACEA21B8</vt:lpwstr>
  </property>
  <property fmtid="{D5CDD505-2E9C-101B-9397-08002B2CF9AE}" pid="3" name="KSOProductBuildVer">
    <vt:lpwstr>1033-11.2.0.11380</vt:lpwstr>
  </property>
</Properties>
</file>